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rowth Curves" sheetId="3" state="visible" r:id="rId3"/>
    <sheet xmlns:r="http://schemas.openxmlformats.org/officeDocument/2006/relationships" name="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2418"/>
      <sz val="16"/>
    </font>
    <font>
      <name val="Calibri"/>
      <i val="1"/>
      <color rgb="009E948A"/>
      <sz val="9"/>
    </font>
    <font>
      <name val="Calibri"/>
      <b val="1"/>
      <color rgb="002C2418"/>
      <sz val="10"/>
    </font>
    <font>
      <name val="Calibri"/>
      <color rgb="005C5244"/>
      <sz val="10"/>
    </font>
    <font>
      <name val="Calibri"/>
      <b val="1"/>
      <color rgb="00FFFFFF"/>
      <sz val="10"/>
    </font>
    <font>
      <name val="Calibri"/>
      <color rgb="002C2418"/>
      <sz val="10"/>
    </font>
    <font>
      <name val="Calibri"/>
      <color rgb="008A7F73"/>
      <sz val="10"/>
    </font>
    <font>
      <name val="Calibri"/>
      <color rgb="008A7F73"/>
      <sz val="9"/>
    </font>
    <font>
      <name val="Calibri"/>
      <b val="1"/>
      <color rgb="002C2418"/>
      <sz val="11"/>
    </font>
    <font>
      <name val="Calibri"/>
      <b val="1"/>
      <color rgb="00B86B4A"/>
      <sz val="10"/>
    </font>
    <font>
      <name val="Calibri"/>
      <b val="1"/>
      <color rgb="008B9E7C"/>
      <sz val="10"/>
    </font>
  </fonts>
  <fills count="6">
    <fill>
      <patternFill/>
    </fill>
    <fill>
      <patternFill patternType="gray125"/>
    </fill>
    <fill>
      <patternFill patternType="solid">
        <fgColor rgb="00EDE7DC"/>
        <bgColor rgb="00EDE7DC"/>
      </patternFill>
    </fill>
    <fill>
      <patternFill patternType="solid">
        <fgColor rgb="003D3225"/>
        <bgColor rgb="003D3225"/>
      </patternFill>
    </fill>
    <fill>
      <patternFill patternType="solid">
        <fgColor rgb="00E5DDD3"/>
        <bgColor rgb="00E5DDD3"/>
      </patternFill>
    </fill>
    <fill>
      <patternFill patternType="solid">
        <fgColor rgb="00D8CFC3"/>
        <bgColor rgb="00D8CFC3"/>
      </patternFill>
    </fill>
  </fills>
  <borders count="4">
    <border>
      <left/>
      <right/>
      <top/>
      <bottom/>
      <diagonal/>
    </border>
    <border>
      <bottom style="thin">
        <color rgb="00D8CFC3"/>
      </bottom>
    </border>
    <border>
      <bottom style="thick">
        <color rgb="00C4956A"/>
      </bottom>
    </border>
    <border>
      <top style="medium">
        <color rgb="002C2418"/>
      </top>
      <bottom style="medium">
        <color rgb="002C241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3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6" fillId="0" borderId="2" pivotButton="0" quotePrefix="0" xfId="0"/>
    <xf numFmtId="3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0" fontId="9" fillId="5" borderId="3" pivotButton="0" quotePrefix="0" xfId="0"/>
    <xf numFmtId="3" fontId="9" fillId="5" borderId="3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3" fontId="3" fillId="4" borderId="1" pivotButton="0" quotePrefix="0" xfId="0"/>
    <xf numFmtId="4" fontId="7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3" fontId="7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10" fillId="0" borderId="1" pivotButton="0" quotePrefix="0" xfId="0"/>
    <xf numFmtId="0" fontId="6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56A"/>
    <outlinePr summaryBelow="1" summaryRight="1"/>
    <pageSetUpPr/>
  </sheetPr>
  <dimension ref="A1:Z1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24-Month P&amp;L</t>
        </is>
      </c>
    </row>
    <row r="2">
      <c r="A2" s="2" t="inlineStr">
        <is>
          <t>Pre-Seed | EUR 500K @ EUR 2.5M Cap | All decisions applied | Formula-based</t>
        </is>
      </c>
    </row>
    <row r="3">
      <c r="A3" s="2" t="inlineStr">
        <is>
          <t>All amounts in EUR. Click any cell to see the formula.</t>
        </is>
      </c>
    </row>
    <row r="4">
      <c r="A4" s="3" t="inlineStr">
        <is>
          <t>Budget P&amp;L (EUR)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M13</t>
        </is>
      </c>
      <c r="O4" s="3" t="inlineStr">
        <is>
          <t>M14</t>
        </is>
      </c>
      <c r="P4" s="3" t="inlineStr">
        <is>
          <t>M15</t>
        </is>
      </c>
      <c r="Q4" s="3" t="inlineStr">
        <is>
          <t>M16</t>
        </is>
      </c>
      <c r="R4" s="3" t="inlineStr">
        <is>
          <t>M17</t>
        </is>
      </c>
      <c r="S4" s="3" t="inlineStr">
        <is>
          <t>M18</t>
        </is>
      </c>
      <c r="T4" s="3" t="inlineStr">
        <is>
          <t>M19</t>
        </is>
      </c>
      <c r="U4" s="3" t="inlineStr">
        <is>
          <t>M20</t>
        </is>
      </c>
      <c r="V4" s="3" t="inlineStr">
        <is>
          <t>M21</t>
        </is>
      </c>
      <c r="W4" s="3" t="inlineStr">
        <is>
          <t>M22</t>
        </is>
      </c>
      <c r="X4" s="3" t="inlineStr">
        <is>
          <t>M23</t>
        </is>
      </c>
      <c r="Y4" s="3" t="inlineStr">
        <is>
          <t>M24</t>
        </is>
      </c>
      <c r="Z4" s="3" t="inlineStr">
        <is>
          <t>TOTAL</t>
        </is>
      </c>
    </row>
    <row r="5">
      <c r="A5" s="4" t="inlineStr">
        <is>
          <t>SUBSCRIBER METRICS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5" t="inlineStr">
        <is>
          <t xml:space="preserve">  New Subs Added</t>
        </is>
      </c>
      <c r="B6" s="6">
        <f>'Growth Curves'!B14</f>
        <v/>
      </c>
      <c r="C6" s="6">
        <f>'Growth Curves'!C14</f>
        <v/>
      </c>
      <c r="D6" s="6">
        <f>'Growth Curves'!D14</f>
        <v/>
      </c>
      <c r="E6" s="6">
        <f>'Growth Curves'!E14</f>
        <v/>
      </c>
      <c r="F6" s="6">
        <f>'Growth Curves'!F14</f>
        <v/>
      </c>
      <c r="G6" s="6">
        <f>'Growth Curves'!G14</f>
        <v/>
      </c>
      <c r="H6" s="6">
        <f>'Growth Curves'!H14</f>
        <v/>
      </c>
      <c r="I6" s="6">
        <f>'Growth Curves'!I14</f>
        <v/>
      </c>
      <c r="J6" s="6">
        <f>'Growth Curves'!J14</f>
        <v/>
      </c>
      <c r="K6" s="6">
        <f>'Growth Curves'!K14</f>
        <v/>
      </c>
      <c r="L6" s="6">
        <f>'Growth Curves'!L14</f>
        <v/>
      </c>
      <c r="M6" s="6">
        <f>'Growth Curves'!M14</f>
        <v/>
      </c>
      <c r="N6" s="6">
        <f>'Growth Curves'!N14</f>
        <v/>
      </c>
      <c r="O6" s="6">
        <f>'Growth Curves'!O14</f>
        <v/>
      </c>
      <c r="P6" s="6">
        <f>'Growth Curves'!P14</f>
        <v/>
      </c>
      <c r="Q6" s="6">
        <f>'Growth Curves'!Q14</f>
        <v/>
      </c>
      <c r="R6" s="6">
        <f>'Growth Curves'!R14</f>
        <v/>
      </c>
      <c r="S6" s="6">
        <f>'Growth Curves'!S14</f>
        <v/>
      </c>
      <c r="T6" s="6">
        <f>'Growth Curves'!T14</f>
        <v/>
      </c>
      <c r="U6" s="6">
        <f>'Growth Curves'!U14</f>
        <v/>
      </c>
      <c r="V6" s="6">
        <f>'Growth Curves'!V14</f>
        <v/>
      </c>
      <c r="W6" s="6">
        <f>'Growth Curves'!W14</f>
        <v/>
      </c>
      <c r="X6" s="6">
        <f>'Growth Curves'!X14</f>
        <v/>
      </c>
      <c r="Y6" s="6">
        <f>'Growth Curves'!Y14</f>
        <v/>
      </c>
      <c r="Z6" s="6">
        <f>SUM(B6:Y6)</f>
        <v/>
      </c>
    </row>
    <row r="7">
      <c r="A7" s="5" t="inlineStr">
        <is>
          <t xml:space="preserve">  Churned Subs</t>
        </is>
      </c>
      <c r="B7" s="6">
        <f>'Growth Curves'!B15</f>
        <v/>
      </c>
      <c r="C7" s="6">
        <f>'Growth Curves'!C15</f>
        <v/>
      </c>
      <c r="D7" s="6">
        <f>'Growth Curves'!D15</f>
        <v/>
      </c>
      <c r="E7" s="6">
        <f>'Growth Curves'!E15</f>
        <v/>
      </c>
      <c r="F7" s="6">
        <f>'Growth Curves'!F15</f>
        <v/>
      </c>
      <c r="G7" s="6">
        <f>'Growth Curves'!G15</f>
        <v/>
      </c>
      <c r="H7" s="6">
        <f>'Growth Curves'!H15</f>
        <v/>
      </c>
      <c r="I7" s="6">
        <f>'Growth Curves'!I15</f>
        <v/>
      </c>
      <c r="J7" s="6">
        <f>'Growth Curves'!J15</f>
        <v/>
      </c>
      <c r="K7" s="6">
        <f>'Growth Curves'!K15</f>
        <v/>
      </c>
      <c r="L7" s="6">
        <f>'Growth Curves'!L15</f>
        <v/>
      </c>
      <c r="M7" s="6">
        <f>'Growth Curves'!M15</f>
        <v/>
      </c>
      <c r="N7" s="6">
        <f>'Growth Curves'!N15</f>
        <v/>
      </c>
      <c r="O7" s="6">
        <f>'Growth Curves'!O15</f>
        <v/>
      </c>
      <c r="P7" s="6">
        <f>'Growth Curves'!P15</f>
        <v/>
      </c>
      <c r="Q7" s="6">
        <f>'Growth Curves'!Q15</f>
        <v/>
      </c>
      <c r="R7" s="6">
        <f>'Growth Curves'!R15</f>
        <v/>
      </c>
      <c r="S7" s="6">
        <f>'Growth Curves'!S15</f>
        <v/>
      </c>
      <c r="T7" s="6">
        <f>'Growth Curves'!T15</f>
        <v/>
      </c>
      <c r="U7" s="6">
        <f>'Growth Curves'!U15</f>
        <v/>
      </c>
      <c r="V7" s="6">
        <f>'Growth Curves'!V15</f>
        <v/>
      </c>
      <c r="W7" s="6">
        <f>'Growth Curves'!W15</f>
        <v/>
      </c>
      <c r="X7" s="6">
        <f>'Growth Curves'!X15</f>
        <v/>
      </c>
      <c r="Y7" s="6">
        <f>'Growth Curves'!Y15</f>
        <v/>
      </c>
      <c r="Z7" s="6">
        <f>SUM(B7:Y7)</f>
        <v/>
      </c>
    </row>
    <row r="8">
      <c r="A8" s="7" t="inlineStr">
        <is>
          <t xml:space="preserve">  Total Subscribers</t>
        </is>
      </c>
      <c r="B8" s="8">
        <f>'Growth Curves'!B16</f>
        <v/>
      </c>
      <c r="C8" s="8">
        <f>'Growth Curves'!C16</f>
        <v/>
      </c>
      <c r="D8" s="8">
        <f>'Growth Curves'!D16</f>
        <v/>
      </c>
      <c r="E8" s="8">
        <f>'Growth Curves'!E16</f>
        <v/>
      </c>
      <c r="F8" s="8">
        <f>'Growth Curves'!F16</f>
        <v/>
      </c>
      <c r="G8" s="8">
        <f>'Growth Curves'!G16</f>
        <v/>
      </c>
      <c r="H8" s="8">
        <f>'Growth Curves'!H16</f>
        <v/>
      </c>
      <c r="I8" s="8">
        <f>'Growth Curves'!I16</f>
        <v/>
      </c>
      <c r="J8" s="8">
        <f>'Growth Curves'!J16</f>
        <v/>
      </c>
      <c r="K8" s="8">
        <f>'Growth Curves'!K16</f>
        <v/>
      </c>
      <c r="L8" s="8">
        <f>'Growth Curves'!L16</f>
        <v/>
      </c>
      <c r="M8" s="8">
        <f>'Growth Curves'!M16</f>
        <v/>
      </c>
      <c r="N8" s="8">
        <f>'Growth Curves'!N16</f>
        <v/>
      </c>
      <c r="O8" s="8">
        <f>'Growth Curves'!O16</f>
        <v/>
      </c>
      <c r="P8" s="8">
        <f>'Growth Curves'!P16</f>
        <v/>
      </c>
      <c r="Q8" s="8">
        <f>'Growth Curves'!Q16</f>
        <v/>
      </c>
      <c r="R8" s="8">
        <f>'Growth Curves'!R16</f>
        <v/>
      </c>
      <c r="S8" s="8">
        <f>'Growth Curves'!S16</f>
        <v/>
      </c>
      <c r="T8" s="8">
        <f>'Growth Curves'!T16</f>
        <v/>
      </c>
      <c r="U8" s="8">
        <f>'Growth Curves'!U16</f>
        <v/>
      </c>
      <c r="V8" s="8">
        <f>'Growth Curves'!V16</f>
        <v/>
      </c>
      <c r="W8" s="8">
        <f>'Growth Curves'!W16</f>
        <v/>
      </c>
      <c r="X8" s="8">
        <f>'Growth Curves'!X16</f>
        <v/>
      </c>
      <c r="Y8" s="8">
        <f>'Growth Curves'!Y16</f>
        <v/>
      </c>
      <c r="Z8" s="8">
        <f>SUM(B8:Y8)</f>
        <v/>
      </c>
    </row>
    <row r="9">
      <c r="A9" s="5" t="inlineStr">
        <is>
          <t xml:space="preserve">    Core (52%)</t>
        </is>
      </c>
      <c r="B9" s="6">
        <f>'Growth Curves'!B17</f>
        <v/>
      </c>
      <c r="C9" s="6">
        <f>'Growth Curves'!C17</f>
        <v/>
      </c>
      <c r="D9" s="6">
        <f>'Growth Curves'!D17</f>
        <v/>
      </c>
      <c r="E9" s="6">
        <f>'Growth Curves'!E17</f>
        <v/>
      </c>
      <c r="F9" s="6">
        <f>'Growth Curves'!F17</f>
        <v/>
      </c>
      <c r="G9" s="6">
        <f>'Growth Curves'!G17</f>
        <v/>
      </c>
      <c r="H9" s="6">
        <f>'Growth Curves'!H17</f>
        <v/>
      </c>
      <c r="I9" s="6">
        <f>'Growth Curves'!I17</f>
        <v/>
      </c>
      <c r="J9" s="6">
        <f>'Growth Curves'!J17</f>
        <v/>
      </c>
      <c r="K9" s="6">
        <f>'Growth Curves'!K17</f>
        <v/>
      </c>
      <c r="L9" s="6">
        <f>'Growth Curves'!L17</f>
        <v/>
      </c>
      <c r="M9" s="6">
        <f>'Growth Curves'!M17</f>
        <v/>
      </c>
      <c r="N9" s="6">
        <f>'Growth Curves'!N17</f>
        <v/>
      </c>
      <c r="O9" s="6">
        <f>'Growth Curves'!O17</f>
        <v/>
      </c>
      <c r="P9" s="6">
        <f>'Growth Curves'!P17</f>
        <v/>
      </c>
      <c r="Q9" s="6">
        <f>'Growth Curves'!Q17</f>
        <v/>
      </c>
      <c r="R9" s="6">
        <f>'Growth Curves'!R17</f>
        <v/>
      </c>
      <c r="S9" s="6">
        <f>'Growth Curves'!S17</f>
        <v/>
      </c>
      <c r="T9" s="6">
        <f>'Growth Curves'!T17</f>
        <v/>
      </c>
      <c r="U9" s="6">
        <f>'Growth Curves'!U17</f>
        <v/>
      </c>
      <c r="V9" s="6">
        <f>'Growth Curves'!V17</f>
        <v/>
      </c>
      <c r="W9" s="6">
        <f>'Growth Curves'!W17</f>
        <v/>
      </c>
      <c r="X9" s="6">
        <f>'Growth Curves'!X17</f>
        <v/>
      </c>
      <c r="Y9" s="6">
        <f>'Growth Curves'!Y17</f>
        <v/>
      </c>
      <c r="Z9" s="6">
        <f>SUM(B9:Y9)</f>
        <v/>
      </c>
    </row>
    <row r="10">
      <c r="A10" s="5" t="inlineStr">
        <is>
          <t xml:space="preserve">    Pro (38%)</t>
        </is>
      </c>
      <c r="B10" s="6">
        <f>'Growth Curves'!B18</f>
        <v/>
      </c>
      <c r="C10" s="6">
        <f>'Growth Curves'!C18</f>
        <v/>
      </c>
      <c r="D10" s="6">
        <f>'Growth Curves'!D18</f>
        <v/>
      </c>
      <c r="E10" s="6">
        <f>'Growth Curves'!E18</f>
        <v/>
      </c>
      <c r="F10" s="6">
        <f>'Growth Curves'!F18</f>
        <v/>
      </c>
      <c r="G10" s="6">
        <f>'Growth Curves'!G18</f>
        <v/>
      </c>
      <c r="H10" s="6">
        <f>'Growth Curves'!H18</f>
        <v/>
      </c>
      <c r="I10" s="6">
        <f>'Growth Curves'!I18</f>
        <v/>
      </c>
      <c r="J10" s="6">
        <f>'Growth Curves'!J18</f>
        <v/>
      </c>
      <c r="K10" s="6">
        <f>'Growth Curves'!K18</f>
        <v/>
      </c>
      <c r="L10" s="6">
        <f>'Growth Curves'!L18</f>
        <v/>
      </c>
      <c r="M10" s="6">
        <f>'Growth Curves'!M18</f>
        <v/>
      </c>
      <c r="N10" s="6">
        <f>'Growth Curves'!N18</f>
        <v/>
      </c>
      <c r="O10" s="6">
        <f>'Growth Curves'!O18</f>
        <v/>
      </c>
      <c r="P10" s="6">
        <f>'Growth Curves'!P18</f>
        <v/>
      </c>
      <c r="Q10" s="6">
        <f>'Growth Curves'!Q18</f>
        <v/>
      </c>
      <c r="R10" s="6">
        <f>'Growth Curves'!R18</f>
        <v/>
      </c>
      <c r="S10" s="6">
        <f>'Growth Curves'!S18</f>
        <v/>
      </c>
      <c r="T10" s="6">
        <f>'Growth Curves'!T18</f>
        <v/>
      </c>
      <c r="U10" s="6">
        <f>'Growth Curves'!U18</f>
        <v/>
      </c>
      <c r="V10" s="6">
        <f>'Growth Curves'!V18</f>
        <v/>
      </c>
      <c r="W10" s="6">
        <f>'Growth Curves'!W18</f>
        <v/>
      </c>
      <c r="X10" s="6">
        <f>'Growth Curves'!X18</f>
        <v/>
      </c>
      <c r="Y10" s="6">
        <f>'Growth Curves'!Y18</f>
        <v/>
      </c>
      <c r="Z10" s="6">
        <f>SUM(B10:Y10)</f>
        <v/>
      </c>
    </row>
    <row r="11">
      <c r="A11" s="5" t="inlineStr">
        <is>
          <t xml:space="preserve">    Premium (10%)</t>
        </is>
      </c>
      <c r="B11" s="6">
        <f>'Growth Curves'!B19</f>
        <v/>
      </c>
      <c r="C11" s="6">
        <f>'Growth Curves'!C19</f>
        <v/>
      </c>
      <c r="D11" s="6">
        <f>'Growth Curves'!D19</f>
        <v/>
      </c>
      <c r="E11" s="6">
        <f>'Growth Curves'!E19</f>
        <v/>
      </c>
      <c r="F11" s="6">
        <f>'Growth Curves'!F19</f>
        <v/>
      </c>
      <c r="G11" s="6">
        <f>'Growth Curves'!G19</f>
        <v/>
      </c>
      <c r="H11" s="6">
        <f>'Growth Curves'!H19</f>
        <v/>
      </c>
      <c r="I11" s="6">
        <f>'Growth Curves'!I19</f>
        <v/>
      </c>
      <c r="J11" s="6">
        <f>'Growth Curves'!J19</f>
        <v/>
      </c>
      <c r="K11" s="6">
        <f>'Growth Curves'!K19</f>
        <v/>
      </c>
      <c r="L11" s="6">
        <f>'Growth Curves'!L19</f>
        <v/>
      </c>
      <c r="M11" s="6">
        <f>'Growth Curves'!M19</f>
        <v/>
      </c>
      <c r="N11" s="6">
        <f>'Growth Curves'!N19</f>
        <v/>
      </c>
      <c r="O11" s="6">
        <f>'Growth Curves'!O19</f>
        <v/>
      </c>
      <c r="P11" s="6">
        <f>'Growth Curves'!P19</f>
        <v/>
      </c>
      <c r="Q11" s="6">
        <f>'Growth Curves'!Q19</f>
        <v/>
      </c>
      <c r="R11" s="6">
        <f>'Growth Curves'!R19</f>
        <v/>
      </c>
      <c r="S11" s="6">
        <f>'Growth Curves'!S19</f>
        <v/>
      </c>
      <c r="T11" s="6">
        <f>'Growth Curves'!T19</f>
        <v/>
      </c>
      <c r="U11" s="6">
        <f>'Growth Curves'!U19</f>
        <v/>
      </c>
      <c r="V11" s="6">
        <f>'Growth Curves'!V19</f>
        <v/>
      </c>
      <c r="W11" s="6">
        <f>'Growth Curves'!W19</f>
        <v/>
      </c>
      <c r="X11" s="6">
        <f>'Growth Curves'!X19</f>
        <v/>
      </c>
      <c r="Y11" s="6">
        <f>'Growth Curves'!Y19</f>
        <v/>
      </c>
      <c r="Z11" s="6">
        <f>SUM(B11:Y11)</f>
        <v/>
      </c>
    </row>
    <row r="13">
      <c r="A13" s="4" t="inlineStr">
        <is>
          <t>INCOME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9" t="inlineStr">
        <is>
          <t xml:space="preserve">  Potions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inlineStr">
        <is>
          <t xml:space="preserve">    Units shipped</t>
        </is>
      </c>
      <c r="B15" s="11">
        <f>'Growth Curves'!B4</f>
        <v/>
      </c>
      <c r="C15" s="11">
        <f>'Growth Curves'!C4</f>
        <v/>
      </c>
      <c r="D15" s="11">
        <f>'Growth Curves'!D4</f>
        <v/>
      </c>
      <c r="E15" s="11">
        <f>'Growth Curves'!E4</f>
        <v/>
      </c>
      <c r="F15" s="11">
        <f>'Growth Curves'!F4</f>
        <v/>
      </c>
      <c r="G15" s="11">
        <f>'Growth Curves'!G4</f>
        <v/>
      </c>
      <c r="H15" s="11">
        <f>'Growth Curves'!H4</f>
        <v/>
      </c>
      <c r="I15" s="11">
        <f>'Growth Curves'!I4</f>
        <v/>
      </c>
      <c r="J15" s="11">
        <f>'Growth Curves'!J4</f>
        <v/>
      </c>
      <c r="K15" s="11">
        <f>'Growth Curves'!K4</f>
        <v/>
      </c>
      <c r="L15" s="11">
        <f>'Growth Curves'!L4</f>
        <v/>
      </c>
      <c r="M15" s="11">
        <f>'Growth Curves'!M4</f>
        <v/>
      </c>
      <c r="N15" s="11">
        <f>'Growth Curves'!N4</f>
        <v/>
      </c>
      <c r="O15" s="11">
        <f>'Growth Curves'!O4</f>
        <v/>
      </c>
      <c r="P15" s="11">
        <f>'Growth Curves'!P4</f>
        <v/>
      </c>
      <c r="Q15" s="11">
        <f>'Growth Curves'!Q4</f>
        <v/>
      </c>
      <c r="R15" s="11">
        <f>'Growth Curves'!R4</f>
        <v/>
      </c>
      <c r="S15" s="11">
        <f>'Growth Curves'!S4</f>
        <v/>
      </c>
      <c r="T15" s="11">
        <f>'Growth Curves'!T4</f>
        <v/>
      </c>
      <c r="U15" s="11">
        <f>'Growth Curves'!U4</f>
        <v/>
      </c>
      <c r="V15" s="11">
        <f>'Growth Curves'!V4</f>
        <v/>
      </c>
      <c r="W15" s="11">
        <f>'Growth Curves'!W4</f>
        <v/>
      </c>
      <c r="X15" s="11">
        <f>'Growth Curves'!X4</f>
        <v/>
      </c>
      <c r="Y15" s="11">
        <f>'Growth Curves'!Y4</f>
        <v/>
      </c>
      <c r="Z15" s="11">
        <f>SUM(B15:Y15)</f>
        <v/>
      </c>
    </row>
    <row r="16">
      <c r="A16" s="10" t="inlineStr">
        <is>
          <t xml:space="preserve">    Price/unit</t>
        </is>
      </c>
      <c r="B16" s="12">
        <f>Assumptions!B22</f>
        <v/>
      </c>
      <c r="C16" s="12">
        <f>Assumptions!B22</f>
        <v/>
      </c>
      <c r="D16" s="12">
        <f>Assumptions!B22</f>
        <v/>
      </c>
      <c r="E16" s="12">
        <f>Assumptions!B22</f>
        <v/>
      </c>
      <c r="F16" s="12">
        <f>Assumptions!B22</f>
        <v/>
      </c>
      <c r="G16" s="12">
        <f>Assumptions!B22</f>
        <v/>
      </c>
      <c r="H16" s="12">
        <f>Assumptions!B22</f>
        <v/>
      </c>
      <c r="I16" s="12">
        <f>Assumptions!B22</f>
        <v/>
      </c>
      <c r="J16" s="12">
        <f>Assumptions!B22</f>
        <v/>
      </c>
      <c r="K16" s="12">
        <f>Assumptions!B22</f>
        <v/>
      </c>
      <c r="L16" s="12">
        <f>Assumptions!B22</f>
        <v/>
      </c>
      <c r="M16" s="12">
        <f>Assumptions!B22</f>
        <v/>
      </c>
      <c r="N16" s="12">
        <f>Assumptions!B22</f>
        <v/>
      </c>
      <c r="O16" s="12">
        <f>Assumptions!B22</f>
        <v/>
      </c>
      <c r="P16" s="12">
        <f>Assumptions!B22</f>
        <v/>
      </c>
      <c r="Q16" s="12">
        <f>Assumptions!B22</f>
        <v/>
      </c>
      <c r="R16" s="12">
        <f>Assumptions!B22</f>
        <v/>
      </c>
      <c r="S16" s="12">
        <f>Assumptions!B22</f>
        <v/>
      </c>
      <c r="T16" s="12">
        <f>Assumptions!B22</f>
        <v/>
      </c>
      <c r="U16" s="12">
        <f>Assumptions!B22</f>
        <v/>
      </c>
      <c r="V16" s="12">
        <f>Assumptions!B22</f>
        <v/>
      </c>
      <c r="W16" s="12">
        <f>Assumptions!B22</f>
        <v/>
      </c>
      <c r="X16" s="12">
        <f>Assumptions!B22</f>
        <v/>
      </c>
      <c r="Y16" s="12">
        <f>Assumptions!B22</f>
        <v/>
      </c>
      <c r="Z16" s="12">
        <f>SUM(B16:Y16)</f>
        <v/>
      </c>
    </row>
    <row r="17">
      <c r="A17" s="13" t="inlineStr">
        <is>
          <t xml:space="preserve">    Revenue</t>
        </is>
      </c>
      <c r="B17" s="14">
        <f>B15*Assumptions!B22</f>
        <v/>
      </c>
      <c r="C17" s="14">
        <f>C15*Assumptions!B22</f>
        <v/>
      </c>
      <c r="D17" s="14">
        <f>D15*Assumptions!B22</f>
        <v/>
      </c>
      <c r="E17" s="14">
        <f>E15*Assumptions!B22</f>
        <v/>
      </c>
      <c r="F17" s="14">
        <f>F15*Assumptions!B22</f>
        <v/>
      </c>
      <c r="G17" s="14">
        <f>G15*Assumptions!B22</f>
        <v/>
      </c>
      <c r="H17" s="14">
        <f>H15*Assumptions!B22</f>
        <v/>
      </c>
      <c r="I17" s="14">
        <f>I15*Assumptions!B22</f>
        <v/>
      </c>
      <c r="J17" s="14">
        <f>J15*Assumptions!B22</f>
        <v/>
      </c>
      <c r="K17" s="14">
        <f>K15*Assumptions!B22</f>
        <v/>
      </c>
      <c r="L17" s="14">
        <f>L15*Assumptions!B22</f>
        <v/>
      </c>
      <c r="M17" s="14">
        <f>M15*Assumptions!B22</f>
        <v/>
      </c>
      <c r="N17" s="14">
        <f>N15*Assumptions!B22</f>
        <v/>
      </c>
      <c r="O17" s="14">
        <f>O15*Assumptions!B22</f>
        <v/>
      </c>
      <c r="P17" s="14">
        <f>P15*Assumptions!B22</f>
        <v/>
      </c>
      <c r="Q17" s="14">
        <f>Q15*Assumptions!B22</f>
        <v/>
      </c>
      <c r="R17" s="14">
        <f>R15*Assumptions!B22</f>
        <v/>
      </c>
      <c r="S17" s="14">
        <f>S15*Assumptions!B22</f>
        <v/>
      </c>
      <c r="T17" s="14">
        <f>T15*Assumptions!B22</f>
        <v/>
      </c>
      <c r="U17" s="14">
        <f>U15*Assumptions!B22</f>
        <v/>
      </c>
      <c r="V17" s="14">
        <f>V15*Assumptions!B22</f>
        <v/>
      </c>
      <c r="W17" s="14">
        <f>W15*Assumptions!B22</f>
        <v/>
      </c>
      <c r="X17" s="14">
        <f>X15*Assumptions!B22</f>
        <v/>
      </c>
      <c r="Y17" s="14">
        <f>Y15*Assumptions!B22</f>
        <v/>
      </c>
      <c r="Z17" s="14">
        <f>SUM(B17:Y17)</f>
        <v/>
      </c>
    </row>
    <row r="18">
      <c r="A18" s="9" t="inlineStr">
        <is>
          <t xml:space="preserve">  LED Therapy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inlineStr">
        <is>
          <t xml:space="preserve">    Sessions</t>
        </is>
      </c>
      <c r="B19" s="11">
        <f>'Growth Curves'!B5</f>
        <v/>
      </c>
      <c r="C19" s="11">
        <f>'Growth Curves'!C5</f>
        <v/>
      </c>
      <c r="D19" s="11">
        <f>'Growth Curves'!D5</f>
        <v/>
      </c>
      <c r="E19" s="11">
        <f>'Growth Curves'!E5</f>
        <v/>
      </c>
      <c r="F19" s="11">
        <f>'Growth Curves'!F5</f>
        <v/>
      </c>
      <c r="G19" s="11">
        <f>'Growth Curves'!G5</f>
        <v/>
      </c>
      <c r="H19" s="11">
        <f>'Growth Curves'!H5</f>
        <v/>
      </c>
      <c r="I19" s="11">
        <f>'Growth Curves'!I5</f>
        <v/>
      </c>
      <c r="J19" s="11">
        <f>'Growth Curves'!J5</f>
        <v/>
      </c>
      <c r="K19" s="11">
        <f>'Growth Curves'!K5</f>
        <v/>
      </c>
      <c r="L19" s="11">
        <f>'Growth Curves'!L5</f>
        <v/>
      </c>
      <c r="M19" s="11">
        <f>'Growth Curves'!M5</f>
        <v/>
      </c>
      <c r="N19" s="11">
        <f>'Growth Curves'!N5</f>
        <v/>
      </c>
      <c r="O19" s="11">
        <f>'Growth Curves'!O5</f>
        <v/>
      </c>
      <c r="P19" s="11">
        <f>'Growth Curves'!P5</f>
        <v/>
      </c>
      <c r="Q19" s="11">
        <f>'Growth Curves'!Q5</f>
        <v/>
      </c>
      <c r="R19" s="11">
        <f>'Growth Curves'!R5</f>
        <v/>
      </c>
      <c r="S19" s="11">
        <f>'Growth Curves'!S5</f>
        <v/>
      </c>
      <c r="T19" s="11">
        <f>'Growth Curves'!T5</f>
        <v/>
      </c>
      <c r="U19" s="11">
        <f>'Growth Curves'!U5</f>
        <v/>
      </c>
      <c r="V19" s="11">
        <f>'Growth Curves'!V5</f>
        <v/>
      </c>
      <c r="W19" s="11">
        <f>'Growth Curves'!W5</f>
        <v/>
      </c>
      <c r="X19" s="11">
        <f>'Growth Curves'!X5</f>
        <v/>
      </c>
      <c r="Y19" s="11">
        <f>'Growth Curves'!Y5</f>
        <v/>
      </c>
      <c r="Z19" s="11">
        <f>SUM(B19:Y19)</f>
        <v/>
      </c>
    </row>
    <row r="20">
      <c r="A20" s="10" t="inlineStr">
        <is>
          <t xml:space="preserve">    Price/session</t>
        </is>
      </c>
      <c r="B20" s="12">
        <f>Assumptions!B24</f>
        <v/>
      </c>
      <c r="C20" s="12">
        <f>Assumptions!B24</f>
        <v/>
      </c>
      <c r="D20" s="12">
        <f>Assumptions!B24</f>
        <v/>
      </c>
      <c r="E20" s="12">
        <f>Assumptions!B24</f>
        <v/>
      </c>
      <c r="F20" s="12">
        <f>Assumptions!B24</f>
        <v/>
      </c>
      <c r="G20" s="12">
        <f>Assumptions!B24</f>
        <v/>
      </c>
      <c r="H20" s="12">
        <f>Assumptions!B24</f>
        <v/>
      </c>
      <c r="I20" s="12">
        <f>Assumptions!B24</f>
        <v/>
      </c>
      <c r="J20" s="12">
        <f>Assumptions!B24</f>
        <v/>
      </c>
      <c r="K20" s="12">
        <f>Assumptions!B24</f>
        <v/>
      </c>
      <c r="L20" s="12">
        <f>Assumptions!B24</f>
        <v/>
      </c>
      <c r="M20" s="12">
        <f>Assumptions!B24</f>
        <v/>
      </c>
      <c r="N20" s="12">
        <f>Assumptions!B24</f>
        <v/>
      </c>
      <c r="O20" s="12">
        <f>Assumptions!B24</f>
        <v/>
      </c>
      <c r="P20" s="12">
        <f>Assumptions!B24</f>
        <v/>
      </c>
      <c r="Q20" s="12">
        <f>Assumptions!B24</f>
        <v/>
      </c>
      <c r="R20" s="12">
        <f>Assumptions!B24</f>
        <v/>
      </c>
      <c r="S20" s="12">
        <f>Assumptions!B24</f>
        <v/>
      </c>
      <c r="T20" s="12">
        <f>Assumptions!B24</f>
        <v/>
      </c>
      <c r="U20" s="12">
        <f>Assumptions!B24</f>
        <v/>
      </c>
      <c r="V20" s="12">
        <f>Assumptions!B24</f>
        <v/>
      </c>
      <c r="W20" s="12">
        <f>Assumptions!B24</f>
        <v/>
      </c>
      <c r="X20" s="12">
        <f>Assumptions!B24</f>
        <v/>
      </c>
      <c r="Y20" s="12">
        <f>Assumptions!B24</f>
        <v/>
      </c>
      <c r="Z20" s="12">
        <f>SUM(B20:Y20)</f>
        <v/>
      </c>
    </row>
    <row r="21">
      <c r="A21" s="13" t="inlineStr">
        <is>
          <t xml:space="preserve">    Revenue</t>
        </is>
      </c>
      <c r="B21" s="14">
        <f>B19*Assumptions!B24</f>
        <v/>
      </c>
      <c r="C21" s="14">
        <f>C19*Assumptions!B24</f>
        <v/>
      </c>
      <c r="D21" s="14">
        <f>D19*Assumptions!B24</f>
        <v/>
      </c>
      <c r="E21" s="14">
        <f>E19*Assumptions!B24</f>
        <v/>
      </c>
      <c r="F21" s="14">
        <f>F19*Assumptions!B24</f>
        <v/>
      </c>
      <c r="G21" s="14">
        <f>G19*Assumptions!B24</f>
        <v/>
      </c>
      <c r="H21" s="14">
        <f>H19*Assumptions!B24</f>
        <v/>
      </c>
      <c r="I21" s="14">
        <f>I19*Assumptions!B24</f>
        <v/>
      </c>
      <c r="J21" s="14">
        <f>J19*Assumptions!B24</f>
        <v/>
      </c>
      <c r="K21" s="14">
        <f>K19*Assumptions!B24</f>
        <v/>
      </c>
      <c r="L21" s="14">
        <f>L19*Assumptions!B24</f>
        <v/>
      </c>
      <c r="M21" s="14">
        <f>M19*Assumptions!B24</f>
        <v/>
      </c>
      <c r="N21" s="14">
        <f>N19*Assumptions!B24</f>
        <v/>
      </c>
      <c r="O21" s="14">
        <f>O19*Assumptions!B24</f>
        <v/>
      </c>
      <c r="P21" s="14">
        <f>P19*Assumptions!B24</f>
        <v/>
      </c>
      <c r="Q21" s="14">
        <f>Q19*Assumptions!B24</f>
        <v/>
      </c>
      <c r="R21" s="14">
        <f>R19*Assumptions!B24</f>
        <v/>
      </c>
      <c r="S21" s="14">
        <f>S19*Assumptions!B24</f>
        <v/>
      </c>
      <c r="T21" s="14">
        <f>T19*Assumptions!B24</f>
        <v/>
      </c>
      <c r="U21" s="14">
        <f>U19*Assumptions!B24</f>
        <v/>
      </c>
      <c r="V21" s="14">
        <f>V19*Assumptions!B24</f>
        <v/>
      </c>
      <c r="W21" s="14">
        <f>W19*Assumptions!B24</f>
        <v/>
      </c>
      <c r="X21" s="14">
        <f>X19*Assumptions!B24</f>
        <v/>
      </c>
      <c r="Y21" s="14">
        <f>Y19*Assumptions!B24</f>
        <v/>
      </c>
      <c r="Z21" s="14">
        <f>SUM(B21:Y21)</f>
        <v/>
      </c>
    </row>
    <row r="22">
      <c r="A22" s="9" t="inlineStr">
        <is>
          <t xml:space="preserve">  Smoothie Bar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10" t="inlineStr">
        <is>
          <t xml:space="preserve">    Units sold</t>
        </is>
      </c>
      <c r="B23" s="11">
        <f>'Growth Curves'!B6</f>
        <v/>
      </c>
      <c r="C23" s="11">
        <f>'Growth Curves'!C6</f>
        <v/>
      </c>
      <c r="D23" s="11">
        <f>'Growth Curves'!D6</f>
        <v/>
      </c>
      <c r="E23" s="11">
        <f>'Growth Curves'!E6</f>
        <v/>
      </c>
      <c r="F23" s="11">
        <f>'Growth Curves'!F6</f>
        <v/>
      </c>
      <c r="G23" s="11">
        <f>'Growth Curves'!G6</f>
        <v/>
      </c>
      <c r="H23" s="11">
        <f>'Growth Curves'!H6</f>
        <v/>
      </c>
      <c r="I23" s="11">
        <f>'Growth Curves'!I6</f>
        <v/>
      </c>
      <c r="J23" s="11">
        <f>'Growth Curves'!J6</f>
        <v/>
      </c>
      <c r="K23" s="11">
        <f>'Growth Curves'!K6</f>
        <v/>
      </c>
      <c r="L23" s="11">
        <f>'Growth Curves'!L6</f>
        <v/>
      </c>
      <c r="M23" s="11">
        <f>'Growth Curves'!M6</f>
        <v/>
      </c>
      <c r="N23" s="11">
        <f>'Growth Curves'!N6</f>
        <v/>
      </c>
      <c r="O23" s="11">
        <f>'Growth Curves'!O6</f>
        <v/>
      </c>
      <c r="P23" s="11">
        <f>'Growth Curves'!P6</f>
        <v/>
      </c>
      <c r="Q23" s="11">
        <f>'Growth Curves'!Q6</f>
        <v/>
      </c>
      <c r="R23" s="11">
        <f>'Growth Curves'!R6</f>
        <v/>
      </c>
      <c r="S23" s="11">
        <f>'Growth Curves'!S6</f>
        <v/>
      </c>
      <c r="T23" s="11">
        <f>'Growth Curves'!T6</f>
        <v/>
      </c>
      <c r="U23" s="11">
        <f>'Growth Curves'!U6</f>
        <v/>
      </c>
      <c r="V23" s="11">
        <f>'Growth Curves'!V6</f>
        <v/>
      </c>
      <c r="W23" s="11">
        <f>'Growth Curves'!W6</f>
        <v/>
      </c>
      <c r="X23" s="11">
        <f>'Growth Curves'!X6</f>
        <v/>
      </c>
      <c r="Y23" s="11">
        <f>'Growth Curves'!Y6</f>
        <v/>
      </c>
      <c r="Z23" s="11">
        <f>SUM(B23:Y23)</f>
        <v/>
      </c>
    </row>
    <row r="24">
      <c r="A24" s="10" t="inlineStr">
        <is>
          <t xml:space="preserve">    Price/smoothie</t>
        </is>
      </c>
      <c r="B24" s="12">
        <f>Assumptions!B26</f>
        <v/>
      </c>
      <c r="C24" s="12">
        <f>Assumptions!B26</f>
        <v/>
      </c>
      <c r="D24" s="12">
        <f>Assumptions!B26</f>
        <v/>
      </c>
      <c r="E24" s="12">
        <f>Assumptions!B26</f>
        <v/>
      </c>
      <c r="F24" s="12">
        <f>Assumptions!B26</f>
        <v/>
      </c>
      <c r="G24" s="12">
        <f>Assumptions!B26</f>
        <v/>
      </c>
      <c r="H24" s="12">
        <f>Assumptions!B26</f>
        <v/>
      </c>
      <c r="I24" s="12">
        <f>Assumptions!B26</f>
        <v/>
      </c>
      <c r="J24" s="12">
        <f>Assumptions!B26</f>
        <v/>
      </c>
      <c r="K24" s="12">
        <f>Assumptions!B26</f>
        <v/>
      </c>
      <c r="L24" s="12">
        <f>Assumptions!B26</f>
        <v/>
      </c>
      <c r="M24" s="12">
        <f>Assumptions!B26</f>
        <v/>
      </c>
      <c r="N24" s="12">
        <f>Assumptions!B26</f>
        <v/>
      </c>
      <c r="O24" s="12">
        <f>Assumptions!B26</f>
        <v/>
      </c>
      <c r="P24" s="12">
        <f>Assumptions!B26</f>
        <v/>
      </c>
      <c r="Q24" s="12">
        <f>Assumptions!B26</f>
        <v/>
      </c>
      <c r="R24" s="12">
        <f>Assumptions!B26</f>
        <v/>
      </c>
      <c r="S24" s="12">
        <f>Assumptions!B26</f>
        <v/>
      </c>
      <c r="T24" s="12">
        <f>Assumptions!B26</f>
        <v/>
      </c>
      <c r="U24" s="12">
        <f>Assumptions!B26</f>
        <v/>
      </c>
      <c r="V24" s="12">
        <f>Assumptions!B26</f>
        <v/>
      </c>
      <c r="W24" s="12">
        <f>Assumptions!B26</f>
        <v/>
      </c>
      <c r="X24" s="12">
        <f>Assumptions!B26</f>
        <v/>
      </c>
      <c r="Y24" s="12">
        <f>Assumptions!B26</f>
        <v/>
      </c>
      <c r="Z24" s="12">
        <f>SUM(B24:Y24)</f>
        <v/>
      </c>
    </row>
    <row r="25">
      <c r="A25" s="13" t="inlineStr">
        <is>
          <t xml:space="preserve">    Revenue</t>
        </is>
      </c>
      <c r="B25" s="14">
        <f>ROUND(B23*Assumptions!B26,0)</f>
        <v/>
      </c>
      <c r="C25" s="14">
        <f>ROUND(C23*Assumptions!B26,0)</f>
        <v/>
      </c>
      <c r="D25" s="14">
        <f>ROUND(D23*Assumptions!B26,0)</f>
        <v/>
      </c>
      <c r="E25" s="14">
        <f>ROUND(E23*Assumptions!B26,0)</f>
        <v/>
      </c>
      <c r="F25" s="14">
        <f>ROUND(F23*Assumptions!B26,0)</f>
        <v/>
      </c>
      <c r="G25" s="14">
        <f>ROUND(G23*Assumptions!B26,0)</f>
        <v/>
      </c>
      <c r="H25" s="14">
        <f>ROUND(H23*Assumptions!B26,0)</f>
        <v/>
      </c>
      <c r="I25" s="14">
        <f>ROUND(I23*Assumptions!B26,0)</f>
        <v/>
      </c>
      <c r="J25" s="14">
        <f>ROUND(J23*Assumptions!B26,0)</f>
        <v/>
      </c>
      <c r="K25" s="14">
        <f>ROUND(K23*Assumptions!B26,0)</f>
        <v/>
      </c>
      <c r="L25" s="14">
        <f>ROUND(L23*Assumptions!B26,0)</f>
        <v/>
      </c>
      <c r="M25" s="14">
        <f>ROUND(M23*Assumptions!B26,0)</f>
        <v/>
      </c>
      <c r="N25" s="14">
        <f>ROUND(N23*Assumptions!B26,0)</f>
        <v/>
      </c>
      <c r="O25" s="14">
        <f>ROUND(O23*Assumptions!B26,0)</f>
        <v/>
      </c>
      <c r="P25" s="14">
        <f>ROUND(P23*Assumptions!B26,0)</f>
        <v/>
      </c>
      <c r="Q25" s="14">
        <f>ROUND(Q23*Assumptions!B26,0)</f>
        <v/>
      </c>
      <c r="R25" s="14">
        <f>ROUND(R23*Assumptions!B26,0)</f>
        <v/>
      </c>
      <c r="S25" s="14">
        <f>ROUND(S23*Assumptions!B26,0)</f>
        <v/>
      </c>
      <c r="T25" s="14">
        <f>ROUND(T23*Assumptions!B26,0)</f>
        <v/>
      </c>
      <c r="U25" s="14">
        <f>ROUND(U23*Assumptions!B26,0)</f>
        <v/>
      </c>
      <c r="V25" s="14">
        <f>ROUND(V23*Assumptions!B26,0)</f>
        <v/>
      </c>
      <c r="W25" s="14">
        <f>ROUND(W23*Assumptions!B26,0)</f>
        <v/>
      </c>
      <c r="X25" s="14">
        <f>ROUND(X23*Assumptions!B26,0)</f>
        <v/>
      </c>
      <c r="Y25" s="14">
        <f>ROUND(Y23*Assumptions!B26,0)</f>
        <v/>
      </c>
      <c r="Z25" s="14">
        <f>SUM(B25:Y25)</f>
        <v/>
      </c>
    </row>
    <row r="26">
      <c r="A26" s="9" t="inlineStr">
        <is>
          <t xml:space="preserve">  Community Events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inlineStr">
        <is>
          <t xml:space="preserve">    Event count</t>
        </is>
      </c>
      <c r="B27" s="11">
        <f>'Growth Curves'!B7</f>
        <v/>
      </c>
      <c r="C27" s="11">
        <f>'Growth Curves'!C7</f>
        <v/>
      </c>
      <c r="D27" s="11">
        <f>'Growth Curves'!D7</f>
        <v/>
      </c>
      <c r="E27" s="11">
        <f>'Growth Curves'!E7</f>
        <v/>
      </c>
      <c r="F27" s="11">
        <f>'Growth Curves'!F7</f>
        <v/>
      </c>
      <c r="G27" s="11">
        <f>'Growth Curves'!G7</f>
        <v/>
      </c>
      <c r="H27" s="11">
        <f>'Growth Curves'!H7</f>
        <v/>
      </c>
      <c r="I27" s="11">
        <f>'Growth Curves'!I7</f>
        <v/>
      </c>
      <c r="J27" s="11">
        <f>'Growth Curves'!J7</f>
        <v/>
      </c>
      <c r="K27" s="11">
        <f>'Growth Curves'!K7</f>
        <v/>
      </c>
      <c r="L27" s="11">
        <f>'Growth Curves'!L7</f>
        <v/>
      </c>
      <c r="M27" s="11">
        <f>'Growth Curves'!M7</f>
        <v/>
      </c>
      <c r="N27" s="11">
        <f>'Growth Curves'!N7</f>
        <v/>
      </c>
      <c r="O27" s="11">
        <f>'Growth Curves'!O7</f>
        <v/>
      </c>
      <c r="P27" s="11">
        <f>'Growth Curves'!P7</f>
        <v/>
      </c>
      <c r="Q27" s="11">
        <f>'Growth Curves'!Q7</f>
        <v/>
      </c>
      <c r="R27" s="11">
        <f>'Growth Curves'!R7</f>
        <v/>
      </c>
      <c r="S27" s="11">
        <f>'Growth Curves'!S7</f>
        <v/>
      </c>
      <c r="T27" s="11">
        <f>'Growth Curves'!T7</f>
        <v/>
      </c>
      <c r="U27" s="11">
        <f>'Growth Curves'!U7</f>
        <v/>
      </c>
      <c r="V27" s="11">
        <f>'Growth Curves'!V7</f>
        <v/>
      </c>
      <c r="W27" s="11">
        <f>'Growth Curves'!W7</f>
        <v/>
      </c>
      <c r="X27" s="11">
        <f>'Growth Curves'!X7</f>
        <v/>
      </c>
      <c r="Y27" s="11">
        <f>'Growth Curves'!Y7</f>
        <v/>
      </c>
      <c r="Z27" s="11">
        <f>SUM(B27:Y27)</f>
        <v/>
      </c>
    </row>
    <row r="28">
      <c r="A28" s="10" t="inlineStr">
        <is>
          <t xml:space="preserve">    Avg attendees/event</t>
        </is>
      </c>
      <c r="B28" s="11">
        <f>'Growth Curves'!B8</f>
        <v/>
      </c>
      <c r="C28" s="11">
        <f>'Growth Curves'!C8</f>
        <v/>
      </c>
      <c r="D28" s="11">
        <f>'Growth Curves'!D8</f>
        <v/>
      </c>
      <c r="E28" s="11">
        <f>'Growth Curves'!E8</f>
        <v/>
      </c>
      <c r="F28" s="11">
        <f>'Growth Curves'!F8</f>
        <v/>
      </c>
      <c r="G28" s="11">
        <f>'Growth Curves'!G8</f>
        <v/>
      </c>
      <c r="H28" s="11">
        <f>'Growth Curves'!H8</f>
        <v/>
      </c>
      <c r="I28" s="11">
        <f>'Growth Curves'!I8</f>
        <v/>
      </c>
      <c r="J28" s="11">
        <f>'Growth Curves'!J8</f>
        <v/>
      </c>
      <c r="K28" s="11">
        <f>'Growth Curves'!K8</f>
        <v/>
      </c>
      <c r="L28" s="11">
        <f>'Growth Curves'!L8</f>
        <v/>
      </c>
      <c r="M28" s="11">
        <f>'Growth Curves'!M8</f>
        <v/>
      </c>
      <c r="N28" s="11">
        <f>'Growth Curves'!N8</f>
        <v/>
      </c>
      <c r="O28" s="11">
        <f>'Growth Curves'!O8</f>
        <v/>
      </c>
      <c r="P28" s="11">
        <f>'Growth Curves'!P8</f>
        <v/>
      </c>
      <c r="Q28" s="11">
        <f>'Growth Curves'!Q8</f>
        <v/>
      </c>
      <c r="R28" s="11">
        <f>'Growth Curves'!R8</f>
        <v/>
      </c>
      <c r="S28" s="11">
        <f>'Growth Curves'!S8</f>
        <v/>
      </c>
      <c r="T28" s="11">
        <f>'Growth Curves'!T8</f>
        <v/>
      </c>
      <c r="U28" s="11">
        <f>'Growth Curves'!U8</f>
        <v/>
      </c>
      <c r="V28" s="11">
        <f>'Growth Curves'!V8</f>
        <v/>
      </c>
      <c r="W28" s="11">
        <f>'Growth Curves'!W8</f>
        <v/>
      </c>
      <c r="X28" s="11">
        <f>'Growth Curves'!X8</f>
        <v/>
      </c>
      <c r="Y28" s="11">
        <f>'Growth Curves'!Y8</f>
        <v/>
      </c>
      <c r="Z28" s="11">
        <f>SUM(B28:Y28)</f>
        <v/>
      </c>
    </row>
    <row r="29">
      <c r="A29" s="10" t="inlineStr">
        <is>
          <t xml:space="preserve">    Total attendees</t>
        </is>
      </c>
      <c r="B29" s="11">
        <f>B27*B28</f>
        <v/>
      </c>
      <c r="C29" s="11">
        <f>C27*C28</f>
        <v/>
      </c>
      <c r="D29" s="11">
        <f>D27*D28</f>
        <v/>
      </c>
      <c r="E29" s="11">
        <f>E27*E28</f>
        <v/>
      </c>
      <c r="F29" s="11">
        <f>F27*F28</f>
        <v/>
      </c>
      <c r="G29" s="11">
        <f>G27*G28</f>
        <v/>
      </c>
      <c r="H29" s="11">
        <f>H27*H28</f>
        <v/>
      </c>
      <c r="I29" s="11">
        <f>I27*I28</f>
        <v/>
      </c>
      <c r="J29" s="11">
        <f>J27*J28</f>
        <v/>
      </c>
      <c r="K29" s="11">
        <f>K27*K28</f>
        <v/>
      </c>
      <c r="L29" s="11">
        <f>L27*L28</f>
        <v/>
      </c>
      <c r="M29" s="11">
        <f>M27*M28</f>
        <v/>
      </c>
      <c r="N29" s="11">
        <f>N27*N28</f>
        <v/>
      </c>
      <c r="O29" s="11">
        <f>O27*O28</f>
        <v/>
      </c>
      <c r="P29" s="11">
        <f>P27*P28</f>
        <v/>
      </c>
      <c r="Q29" s="11">
        <f>Q27*Q28</f>
        <v/>
      </c>
      <c r="R29" s="11">
        <f>R27*R28</f>
        <v/>
      </c>
      <c r="S29" s="11">
        <f>S27*S28</f>
        <v/>
      </c>
      <c r="T29" s="11">
        <f>T27*T28</f>
        <v/>
      </c>
      <c r="U29" s="11">
        <f>U27*U28</f>
        <v/>
      </c>
      <c r="V29" s="11">
        <f>V27*V28</f>
        <v/>
      </c>
      <c r="W29" s="11">
        <f>W27*W28</f>
        <v/>
      </c>
      <c r="X29" s="11">
        <f>X27*X28</f>
        <v/>
      </c>
      <c r="Y29" s="11">
        <f>Y27*Y28</f>
        <v/>
      </c>
      <c r="Z29" s="11">
        <f>SUM(B29:Y29)</f>
        <v/>
      </c>
    </row>
    <row r="30">
      <c r="A30" s="10" t="inlineStr">
        <is>
          <t xml:space="preserve">    Price/ticket</t>
        </is>
      </c>
      <c r="B30" s="12">
        <f>Assumptions!B28</f>
        <v/>
      </c>
      <c r="C30" s="12">
        <f>Assumptions!B28</f>
        <v/>
      </c>
      <c r="D30" s="12">
        <f>Assumptions!B28</f>
        <v/>
      </c>
      <c r="E30" s="12">
        <f>Assumptions!B28</f>
        <v/>
      </c>
      <c r="F30" s="12">
        <f>Assumptions!B28</f>
        <v/>
      </c>
      <c r="G30" s="12">
        <f>Assumptions!B28</f>
        <v/>
      </c>
      <c r="H30" s="12">
        <f>Assumptions!B28</f>
        <v/>
      </c>
      <c r="I30" s="12">
        <f>Assumptions!B28</f>
        <v/>
      </c>
      <c r="J30" s="12">
        <f>Assumptions!B28</f>
        <v/>
      </c>
      <c r="K30" s="12">
        <f>Assumptions!B28</f>
        <v/>
      </c>
      <c r="L30" s="12">
        <f>Assumptions!B28</f>
        <v/>
      </c>
      <c r="M30" s="12">
        <f>Assumptions!B28</f>
        <v/>
      </c>
      <c r="N30" s="12">
        <f>Assumptions!B28</f>
        <v/>
      </c>
      <c r="O30" s="12">
        <f>Assumptions!B28</f>
        <v/>
      </c>
      <c r="P30" s="12">
        <f>Assumptions!B28</f>
        <v/>
      </c>
      <c r="Q30" s="12">
        <f>Assumptions!B28</f>
        <v/>
      </c>
      <c r="R30" s="12">
        <f>Assumptions!B28</f>
        <v/>
      </c>
      <c r="S30" s="12">
        <f>Assumptions!B28</f>
        <v/>
      </c>
      <c r="T30" s="12">
        <f>Assumptions!B28</f>
        <v/>
      </c>
      <c r="U30" s="12">
        <f>Assumptions!B28</f>
        <v/>
      </c>
      <c r="V30" s="12">
        <f>Assumptions!B28</f>
        <v/>
      </c>
      <c r="W30" s="12">
        <f>Assumptions!B28</f>
        <v/>
      </c>
      <c r="X30" s="12">
        <f>Assumptions!B28</f>
        <v/>
      </c>
      <c r="Y30" s="12">
        <f>Assumptions!B28</f>
        <v/>
      </c>
      <c r="Z30" s="12">
        <f>SUM(B30:Y30)</f>
        <v/>
      </c>
    </row>
    <row r="31">
      <c r="A31" s="13" t="inlineStr">
        <is>
          <t xml:space="preserve">    Revenue</t>
        </is>
      </c>
      <c r="B31" s="14">
        <f>B29*Assumptions!B28</f>
        <v/>
      </c>
      <c r="C31" s="14">
        <f>C29*Assumptions!B28</f>
        <v/>
      </c>
      <c r="D31" s="14">
        <f>D29*Assumptions!B28</f>
        <v/>
      </c>
      <c r="E31" s="14">
        <f>E29*Assumptions!B28</f>
        <v/>
      </c>
      <c r="F31" s="14">
        <f>F29*Assumptions!B28</f>
        <v/>
      </c>
      <c r="G31" s="14">
        <f>G29*Assumptions!B28</f>
        <v/>
      </c>
      <c r="H31" s="14">
        <f>H29*Assumptions!B28</f>
        <v/>
      </c>
      <c r="I31" s="14">
        <f>I29*Assumptions!B28</f>
        <v/>
      </c>
      <c r="J31" s="14">
        <f>J29*Assumptions!B28</f>
        <v/>
      </c>
      <c r="K31" s="14">
        <f>K29*Assumptions!B28</f>
        <v/>
      </c>
      <c r="L31" s="14">
        <f>L29*Assumptions!B28</f>
        <v/>
      </c>
      <c r="M31" s="14">
        <f>M29*Assumptions!B28</f>
        <v/>
      </c>
      <c r="N31" s="14">
        <f>N29*Assumptions!B28</f>
        <v/>
      </c>
      <c r="O31" s="14">
        <f>O29*Assumptions!B28</f>
        <v/>
      </c>
      <c r="P31" s="14">
        <f>P29*Assumptions!B28</f>
        <v/>
      </c>
      <c r="Q31" s="14">
        <f>Q29*Assumptions!B28</f>
        <v/>
      </c>
      <c r="R31" s="14">
        <f>R29*Assumptions!B28</f>
        <v/>
      </c>
      <c r="S31" s="14">
        <f>S29*Assumptions!B28</f>
        <v/>
      </c>
      <c r="T31" s="14">
        <f>T29*Assumptions!B28</f>
        <v/>
      </c>
      <c r="U31" s="14">
        <f>U29*Assumptions!B28</f>
        <v/>
      </c>
      <c r="V31" s="14">
        <f>V29*Assumptions!B28</f>
        <v/>
      </c>
      <c r="W31" s="14">
        <f>W29*Assumptions!B28</f>
        <v/>
      </c>
      <c r="X31" s="14">
        <f>X29*Assumptions!B28</f>
        <v/>
      </c>
      <c r="Y31" s="14">
        <f>Y29*Assumptions!B28</f>
        <v/>
      </c>
      <c r="Z31" s="14">
        <f>SUM(B31:Y31)</f>
        <v/>
      </c>
    </row>
    <row r="32">
      <c r="A32" s="9" t="inlineStr">
        <is>
          <t xml:space="preserve">  Doctor SaaS (D1: EUR 99/mo)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10" t="inlineStr">
        <is>
          <t xml:space="preserve">    Clinics listed</t>
        </is>
      </c>
      <c r="B33" s="11">
        <f>'Growth Curves'!B9</f>
        <v/>
      </c>
      <c r="C33" s="11">
        <f>'Growth Curves'!C9</f>
        <v/>
      </c>
      <c r="D33" s="11">
        <f>'Growth Curves'!D9</f>
        <v/>
      </c>
      <c r="E33" s="11">
        <f>'Growth Curves'!E9</f>
        <v/>
      </c>
      <c r="F33" s="11">
        <f>'Growth Curves'!F9</f>
        <v/>
      </c>
      <c r="G33" s="11">
        <f>'Growth Curves'!G9</f>
        <v/>
      </c>
      <c r="H33" s="11">
        <f>'Growth Curves'!H9</f>
        <v/>
      </c>
      <c r="I33" s="11">
        <f>'Growth Curves'!I9</f>
        <v/>
      </c>
      <c r="J33" s="11">
        <f>'Growth Curves'!J9</f>
        <v/>
      </c>
      <c r="K33" s="11">
        <f>'Growth Curves'!K9</f>
        <v/>
      </c>
      <c r="L33" s="11">
        <f>'Growth Curves'!L9</f>
        <v/>
      </c>
      <c r="M33" s="11">
        <f>'Growth Curves'!M9</f>
        <v/>
      </c>
      <c r="N33" s="11">
        <f>'Growth Curves'!N9</f>
        <v/>
      </c>
      <c r="O33" s="11">
        <f>'Growth Curves'!O9</f>
        <v/>
      </c>
      <c r="P33" s="11">
        <f>'Growth Curves'!P9</f>
        <v/>
      </c>
      <c r="Q33" s="11">
        <f>'Growth Curves'!Q9</f>
        <v/>
      </c>
      <c r="R33" s="11">
        <f>'Growth Curves'!R9</f>
        <v/>
      </c>
      <c r="S33" s="11">
        <f>'Growth Curves'!S9</f>
        <v/>
      </c>
      <c r="T33" s="11">
        <f>'Growth Curves'!T9</f>
        <v/>
      </c>
      <c r="U33" s="11">
        <f>'Growth Curves'!U9</f>
        <v/>
      </c>
      <c r="V33" s="11">
        <f>'Growth Curves'!V9</f>
        <v/>
      </c>
      <c r="W33" s="11">
        <f>'Growth Curves'!W9</f>
        <v/>
      </c>
      <c r="X33" s="11">
        <f>'Growth Curves'!X9</f>
        <v/>
      </c>
      <c r="Y33" s="11">
        <f>'Growth Curves'!Y9</f>
        <v/>
      </c>
      <c r="Z33" s="11">
        <f>SUM(B33:Y33)</f>
        <v/>
      </c>
    </row>
    <row r="34">
      <c r="A34" s="10" t="inlineStr">
        <is>
          <t xml:space="preserve">    Fee/month</t>
        </is>
      </c>
      <c r="B34" s="12">
        <f>Assumptions!B31</f>
        <v/>
      </c>
      <c r="C34" s="12">
        <f>Assumptions!B31</f>
        <v/>
      </c>
      <c r="D34" s="12">
        <f>Assumptions!B31</f>
        <v/>
      </c>
      <c r="E34" s="12">
        <f>Assumptions!B31</f>
        <v/>
      </c>
      <c r="F34" s="12">
        <f>Assumptions!B31</f>
        <v/>
      </c>
      <c r="G34" s="12">
        <f>Assumptions!B31</f>
        <v/>
      </c>
      <c r="H34" s="12">
        <f>Assumptions!B31</f>
        <v/>
      </c>
      <c r="I34" s="12">
        <f>Assumptions!B31</f>
        <v/>
      </c>
      <c r="J34" s="12">
        <f>Assumptions!B31</f>
        <v/>
      </c>
      <c r="K34" s="12">
        <f>Assumptions!B31</f>
        <v/>
      </c>
      <c r="L34" s="12">
        <f>Assumptions!B31</f>
        <v/>
      </c>
      <c r="M34" s="12">
        <f>Assumptions!B31</f>
        <v/>
      </c>
      <c r="N34" s="12">
        <f>Assumptions!B31</f>
        <v/>
      </c>
      <c r="O34" s="12">
        <f>Assumptions!B31</f>
        <v/>
      </c>
      <c r="P34" s="12">
        <f>Assumptions!B31</f>
        <v/>
      </c>
      <c r="Q34" s="12">
        <f>Assumptions!B31</f>
        <v/>
      </c>
      <c r="R34" s="12">
        <f>Assumptions!B31</f>
        <v/>
      </c>
      <c r="S34" s="12">
        <f>Assumptions!B31</f>
        <v/>
      </c>
      <c r="T34" s="12">
        <f>Assumptions!B31</f>
        <v/>
      </c>
      <c r="U34" s="12">
        <f>Assumptions!B31</f>
        <v/>
      </c>
      <c r="V34" s="12">
        <f>Assumptions!B31</f>
        <v/>
      </c>
      <c r="W34" s="12">
        <f>Assumptions!B31</f>
        <v/>
      </c>
      <c r="X34" s="12">
        <f>Assumptions!B31</f>
        <v/>
      </c>
      <c r="Y34" s="12">
        <f>Assumptions!B31</f>
        <v/>
      </c>
      <c r="Z34" s="12">
        <f>SUM(B34:Y34)</f>
        <v/>
      </c>
    </row>
    <row r="35">
      <c r="A35" s="13" t="inlineStr">
        <is>
          <t xml:space="preserve">    Revenue</t>
        </is>
      </c>
      <c r="B35" s="14">
        <f>B33*Assumptions!B31</f>
        <v/>
      </c>
      <c r="C35" s="14">
        <f>C33*Assumptions!B31</f>
        <v/>
      </c>
      <c r="D35" s="14">
        <f>D33*Assumptions!B31</f>
        <v/>
      </c>
      <c r="E35" s="14">
        <f>E33*Assumptions!B31</f>
        <v/>
      </c>
      <c r="F35" s="14">
        <f>F33*Assumptions!B31</f>
        <v/>
      </c>
      <c r="G35" s="14">
        <f>G33*Assumptions!B31</f>
        <v/>
      </c>
      <c r="H35" s="14">
        <f>H33*Assumptions!B31</f>
        <v/>
      </c>
      <c r="I35" s="14">
        <f>I33*Assumptions!B31</f>
        <v/>
      </c>
      <c r="J35" s="14">
        <f>J33*Assumptions!B31</f>
        <v/>
      </c>
      <c r="K35" s="14">
        <f>K33*Assumptions!B31</f>
        <v/>
      </c>
      <c r="L35" s="14">
        <f>L33*Assumptions!B31</f>
        <v/>
      </c>
      <c r="M35" s="14">
        <f>M33*Assumptions!B31</f>
        <v/>
      </c>
      <c r="N35" s="14">
        <f>N33*Assumptions!B31</f>
        <v/>
      </c>
      <c r="O35" s="14">
        <f>O33*Assumptions!B31</f>
        <v/>
      </c>
      <c r="P35" s="14">
        <f>P33*Assumptions!B31</f>
        <v/>
      </c>
      <c r="Q35" s="14">
        <f>Q33*Assumptions!B31</f>
        <v/>
      </c>
      <c r="R35" s="14">
        <f>R33*Assumptions!B31</f>
        <v/>
      </c>
      <c r="S35" s="14">
        <f>S33*Assumptions!B31</f>
        <v/>
      </c>
      <c r="T35" s="14">
        <f>T33*Assumptions!B31</f>
        <v/>
      </c>
      <c r="U35" s="14">
        <f>U33*Assumptions!B31</f>
        <v/>
      </c>
      <c r="V35" s="14">
        <f>V33*Assumptions!B31</f>
        <v/>
      </c>
      <c r="W35" s="14">
        <f>W33*Assumptions!B31</f>
        <v/>
      </c>
      <c r="X35" s="14">
        <f>X33*Assumptions!B31</f>
        <v/>
      </c>
      <c r="Y35" s="14">
        <f>Y33*Assumptions!B31</f>
        <v/>
      </c>
      <c r="Z35" s="14">
        <f>SUM(B35:Y35)</f>
        <v/>
      </c>
    </row>
    <row r="36">
      <c r="A36" s="15" t="inlineStr">
        <is>
          <t xml:space="preserve">  Restaurant (Phase 2 — EUR 0)</t>
        </is>
      </c>
      <c r="B36" s="16" t="n">
        <v>0</v>
      </c>
      <c r="C36" s="16" t="n">
        <v>0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>
        <f>SUM(B36:Y36)</f>
        <v/>
      </c>
    </row>
    <row r="37">
      <c r="A37" s="9" t="inlineStr">
        <is>
          <t xml:space="preserve">  Subscriptions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17" t="inlineStr">
        <is>
          <t xml:space="preserve">    Core (EUR 19/mo)</t>
        </is>
      </c>
      <c r="B38" s="18">
        <f>'Growth Curves'!B17*Assumptions!B5</f>
        <v/>
      </c>
      <c r="C38" s="18">
        <f>'Growth Curves'!C17*Assumptions!B5</f>
        <v/>
      </c>
      <c r="D38" s="18">
        <f>'Growth Curves'!D17*Assumptions!B5</f>
        <v/>
      </c>
      <c r="E38" s="18">
        <f>'Growth Curves'!E17*Assumptions!B5</f>
        <v/>
      </c>
      <c r="F38" s="18">
        <f>'Growth Curves'!F17*Assumptions!B5</f>
        <v/>
      </c>
      <c r="G38" s="18">
        <f>'Growth Curves'!G17*Assumptions!B5</f>
        <v/>
      </c>
      <c r="H38" s="18">
        <f>'Growth Curves'!H17*Assumptions!B5</f>
        <v/>
      </c>
      <c r="I38" s="18">
        <f>'Growth Curves'!I17*Assumptions!B5</f>
        <v/>
      </c>
      <c r="J38" s="18">
        <f>'Growth Curves'!J17*Assumptions!B5</f>
        <v/>
      </c>
      <c r="K38" s="18">
        <f>'Growth Curves'!K17*Assumptions!B5</f>
        <v/>
      </c>
      <c r="L38" s="18">
        <f>'Growth Curves'!L17*Assumptions!B5</f>
        <v/>
      </c>
      <c r="M38" s="18">
        <f>'Growth Curves'!M17*Assumptions!B5</f>
        <v/>
      </c>
      <c r="N38" s="18">
        <f>'Growth Curves'!N17*Assumptions!B5</f>
        <v/>
      </c>
      <c r="O38" s="18">
        <f>'Growth Curves'!O17*Assumptions!B5</f>
        <v/>
      </c>
      <c r="P38" s="18">
        <f>'Growth Curves'!P17*Assumptions!B5</f>
        <v/>
      </c>
      <c r="Q38" s="18">
        <f>'Growth Curves'!Q17*Assumptions!B5</f>
        <v/>
      </c>
      <c r="R38" s="18">
        <f>'Growth Curves'!R17*Assumptions!B5</f>
        <v/>
      </c>
      <c r="S38" s="18">
        <f>'Growth Curves'!S17*Assumptions!B5</f>
        <v/>
      </c>
      <c r="T38" s="18">
        <f>'Growth Curves'!T17*Assumptions!B5</f>
        <v/>
      </c>
      <c r="U38" s="18">
        <f>'Growth Curves'!U17*Assumptions!B5</f>
        <v/>
      </c>
      <c r="V38" s="18">
        <f>'Growth Curves'!V17*Assumptions!B5</f>
        <v/>
      </c>
      <c r="W38" s="18">
        <f>'Growth Curves'!W17*Assumptions!B5</f>
        <v/>
      </c>
      <c r="X38" s="18">
        <f>'Growth Curves'!X17*Assumptions!B5</f>
        <v/>
      </c>
      <c r="Y38" s="18">
        <f>'Growth Curves'!Y17*Assumptions!B5</f>
        <v/>
      </c>
      <c r="Z38" s="18">
        <f>SUM(B38:Y38)</f>
        <v/>
      </c>
    </row>
    <row r="39">
      <c r="A39" s="17" t="inlineStr">
        <is>
          <t xml:space="preserve">    Pro (EUR 49/mo)</t>
        </is>
      </c>
      <c r="B39" s="18">
        <f>'Growth Curves'!B18*Assumptions!B6</f>
        <v/>
      </c>
      <c r="C39" s="18">
        <f>'Growth Curves'!C18*Assumptions!B6</f>
        <v/>
      </c>
      <c r="D39" s="18">
        <f>'Growth Curves'!D18*Assumptions!B6</f>
        <v/>
      </c>
      <c r="E39" s="18">
        <f>'Growth Curves'!E18*Assumptions!B6</f>
        <v/>
      </c>
      <c r="F39" s="18">
        <f>'Growth Curves'!F18*Assumptions!B6</f>
        <v/>
      </c>
      <c r="G39" s="18">
        <f>'Growth Curves'!G18*Assumptions!B6</f>
        <v/>
      </c>
      <c r="H39" s="18">
        <f>'Growth Curves'!H18*Assumptions!B6</f>
        <v/>
      </c>
      <c r="I39" s="18">
        <f>'Growth Curves'!I18*Assumptions!B6</f>
        <v/>
      </c>
      <c r="J39" s="18">
        <f>'Growth Curves'!J18*Assumptions!B6</f>
        <v/>
      </c>
      <c r="K39" s="18">
        <f>'Growth Curves'!K18*Assumptions!B6</f>
        <v/>
      </c>
      <c r="L39" s="18">
        <f>'Growth Curves'!L18*Assumptions!B6</f>
        <v/>
      </c>
      <c r="M39" s="18">
        <f>'Growth Curves'!M18*Assumptions!B6</f>
        <v/>
      </c>
      <c r="N39" s="18">
        <f>'Growth Curves'!N18*Assumptions!B6</f>
        <v/>
      </c>
      <c r="O39" s="18">
        <f>'Growth Curves'!O18*Assumptions!B6</f>
        <v/>
      </c>
      <c r="P39" s="18">
        <f>'Growth Curves'!P18*Assumptions!B6</f>
        <v/>
      </c>
      <c r="Q39" s="18">
        <f>'Growth Curves'!Q18*Assumptions!B6</f>
        <v/>
      </c>
      <c r="R39" s="18">
        <f>'Growth Curves'!R18*Assumptions!B6</f>
        <v/>
      </c>
      <c r="S39" s="18">
        <f>'Growth Curves'!S18*Assumptions!B6</f>
        <v/>
      </c>
      <c r="T39" s="18">
        <f>'Growth Curves'!T18*Assumptions!B6</f>
        <v/>
      </c>
      <c r="U39" s="18">
        <f>'Growth Curves'!U18*Assumptions!B6</f>
        <v/>
      </c>
      <c r="V39" s="18">
        <f>'Growth Curves'!V18*Assumptions!B6</f>
        <v/>
      </c>
      <c r="W39" s="18">
        <f>'Growth Curves'!W18*Assumptions!B6</f>
        <v/>
      </c>
      <c r="X39" s="18">
        <f>'Growth Curves'!X18*Assumptions!B6</f>
        <v/>
      </c>
      <c r="Y39" s="18">
        <f>'Growth Curves'!Y18*Assumptions!B6</f>
        <v/>
      </c>
      <c r="Z39" s="18">
        <f>SUM(B39:Y39)</f>
        <v/>
      </c>
    </row>
    <row r="40">
      <c r="A40" s="17" t="inlineStr">
        <is>
          <t xml:space="preserve">    Premium (EUR 99/mo)</t>
        </is>
      </c>
      <c r="B40" s="18">
        <f>'Growth Curves'!B19*Assumptions!B7</f>
        <v/>
      </c>
      <c r="C40" s="18">
        <f>'Growth Curves'!C19*Assumptions!B7</f>
        <v/>
      </c>
      <c r="D40" s="18">
        <f>'Growth Curves'!D19*Assumptions!B7</f>
        <v/>
      </c>
      <c r="E40" s="18">
        <f>'Growth Curves'!E19*Assumptions!B7</f>
        <v/>
      </c>
      <c r="F40" s="18">
        <f>'Growth Curves'!F19*Assumptions!B7</f>
        <v/>
      </c>
      <c r="G40" s="18">
        <f>'Growth Curves'!G19*Assumptions!B7</f>
        <v/>
      </c>
      <c r="H40" s="18">
        <f>'Growth Curves'!H19*Assumptions!B7</f>
        <v/>
      </c>
      <c r="I40" s="18">
        <f>'Growth Curves'!I19*Assumptions!B7</f>
        <v/>
      </c>
      <c r="J40" s="18">
        <f>'Growth Curves'!J19*Assumptions!B7</f>
        <v/>
      </c>
      <c r="K40" s="18">
        <f>'Growth Curves'!K19*Assumptions!B7</f>
        <v/>
      </c>
      <c r="L40" s="18">
        <f>'Growth Curves'!L19*Assumptions!B7</f>
        <v/>
      </c>
      <c r="M40" s="18">
        <f>'Growth Curves'!M19*Assumptions!B7</f>
        <v/>
      </c>
      <c r="N40" s="18">
        <f>'Growth Curves'!N19*Assumptions!B7</f>
        <v/>
      </c>
      <c r="O40" s="18">
        <f>'Growth Curves'!O19*Assumptions!B7</f>
        <v/>
      </c>
      <c r="P40" s="18">
        <f>'Growth Curves'!P19*Assumptions!B7</f>
        <v/>
      </c>
      <c r="Q40" s="18">
        <f>'Growth Curves'!Q19*Assumptions!B7</f>
        <v/>
      </c>
      <c r="R40" s="18">
        <f>'Growth Curves'!R19*Assumptions!B7</f>
        <v/>
      </c>
      <c r="S40" s="18">
        <f>'Growth Curves'!S19*Assumptions!B7</f>
        <v/>
      </c>
      <c r="T40" s="18">
        <f>'Growth Curves'!T19*Assumptions!B7</f>
        <v/>
      </c>
      <c r="U40" s="18">
        <f>'Growth Curves'!U19*Assumptions!B7</f>
        <v/>
      </c>
      <c r="V40" s="18">
        <f>'Growth Curves'!V19*Assumptions!B7</f>
        <v/>
      </c>
      <c r="W40" s="18">
        <f>'Growth Curves'!W19*Assumptions!B7</f>
        <v/>
      </c>
      <c r="X40" s="18">
        <f>'Growth Curves'!X19*Assumptions!B7</f>
        <v/>
      </c>
      <c r="Y40" s="18">
        <f>'Growth Curves'!Y19*Assumptions!B7</f>
        <v/>
      </c>
      <c r="Z40" s="18">
        <f>SUM(B40:Y40)</f>
        <v/>
      </c>
    </row>
    <row r="41">
      <c r="A41" s="19" t="inlineStr">
        <is>
          <t xml:space="preserve">    Subscription MRR</t>
        </is>
      </c>
      <c r="B41" s="20">
        <f>B38+B39+B40</f>
        <v/>
      </c>
      <c r="C41" s="20">
        <f>C38+C39+C40</f>
        <v/>
      </c>
      <c r="D41" s="20">
        <f>D38+D39+D40</f>
        <v/>
      </c>
      <c r="E41" s="20">
        <f>E38+E39+E40</f>
        <v/>
      </c>
      <c r="F41" s="20">
        <f>F38+F39+F40</f>
        <v/>
      </c>
      <c r="G41" s="20">
        <f>G38+G39+G40</f>
        <v/>
      </c>
      <c r="H41" s="20">
        <f>H38+H39+H40</f>
        <v/>
      </c>
      <c r="I41" s="20">
        <f>I38+I39+I40</f>
        <v/>
      </c>
      <c r="J41" s="20">
        <f>J38+J39+J40</f>
        <v/>
      </c>
      <c r="K41" s="20">
        <f>K38+K39+K40</f>
        <v/>
      </c>
      <c r="L41" s="20">
        <f>L38+L39+L40</f>
        <v/>
      </c>
      <c r="M41" s="20">
        <f>M38+M39+M40</f>
        <v/>
      </c>
      <c r="N41" s="20">
        <f>N38+N39+N40</f>
        <v/>
      </c>
      <c r="O41" s="20">
        <f>O38+O39+O40</f>
        <v/>
      </c>
      <c r="P41" s="20">
        <f>P38+P39+P40</f>
        <v/>
      </c>
      <c r="Q41" s="20">
        <f>Q38+Q39+Q40</f>
        <v/>
      </c>
      <c r="R41" s="20">
        <f>R38+R39+R40</f>
        <v/>
      </c>
      <c r="S41" s="20">
        <f>S38+S39+S40</f>
        <v/>
      </c>
      <c r="T41" s="20">
        <f>T38+T39+T40</f>
        <v/>
      </c>
      <c r="U41" s="20">
        <f>U38+U39+U40</f>
        <v/>
      </c>
      <c r="V41" s="20">
        <f>V38+V39+V40</f>
        <v/>
      </c>
      <c r="W41" s="20">
        <f>W38+W39+W40</f>
        <v/>
      </c>
      <c r="X41" s="20">
        <f>X38+X39+X40</f>
        <v/>
      </c>
      <c r="Y41" s="20">
        <f>Y38+Y39+Y40</f>
        <v/>
      </c>
      <c r="Z41" s="20">
        <f>SUM(B41:Y41)</f>
        <v/>
      </c>
    </row>
    <row r="43">
      <c r="A43" s="21" t="inlineStr">
        <is>
          <t>TOTAL INCOME</t>
        </is>
      </c>
      <c r="B43" s="22">
        <f>B17+B21+B25+B31+B35+B36+B41</f>
        <v/>
      </c>
      <c r="C43" s="22">
        <f>C17+C21+C25+C31+C35+C36+C41</f>
        <v/>
      </c>
      <c r="D43" s="22">
        <f>D17+D21+D25+D31+D35+D36+D41</f>
        <v/>
      </c>
      <c r="E43" s="22">
        <f>E17+E21+E25+E31+E35+E36+E41</f>
        <v/>
      </c>
      <c r="F43" s="22">
        <f>F17+F21+F25+F31+F35+F36+F41</f>
        <v/>
      </c>
      <c r="G43" s="22">
        <f>G17+G21+G25+G31+G35+G36+G41</f>
        <v/>
      </c>
      <c r="H43" s="22">
        <f>H17+H21+H25+H31+H35+H36+H41</f>
        <v/>
      </c>
      <c r="I43" s="22">
        <f>I17+I21+I25+I31+I35+I36+I41</f>
        <v/>
      </c>
      <c r="J43" s="22">
        <f>J17+J21+J25+J31+J35+J36+J41</f>
        <v/>
      </c>
      <c r="K43" s="22">
        <f>K17+K21+K25+K31+K35+K36+K41</f>
        <v/>
      </c>
      <c r="L43" s="22">
        <f>L17+L21+L25+L31+L35+L36+L41</f>
        <v/>
      </c>
      <c r="M43" s="22">
        <f>M17+M21+M25+M31+M35+M36+M41</f>
        <v/>
      </c>
      <c r="N43" s="22">
        <f>N17+N21+N25+N31+N35+N36+N41</f>
        <v/>
      </c>
      <c r="O43" s="22">
        <f>O17+O21+O25+O31+O35+O36+O41</f>
        <v/>
      </c>
      <c r="P43" s="22">
        <f>P17+P21+P25+P31+P35+P36+P41</f>
        <v/>
      </c>
      <c r="Q43" s="22">
        <f>Q17+Q21+Q25+Q31+Q35+Q36+Q41</f>
        <v/>
      </c>
      <c r="R43" s="22">
        <f>R17+R21+R25+R31+R35+R36+R41</f>
        <v/>
      </c>
      <c r="S43" s="22">
        <f>S17+S21+S25+S31+S35+S36+S41</f>
        <v/>
      </c>
      <c r="T43" s="22">
        <f>T17+T21+T25+T31+T35+T36+T41</f>
        <v/>
      </c>
      <c r="U43" s="22">
        <f>U17+U21+U25+U31+U35+U36+U41</f>
        <v/>
      </c>
      <c r="V43" s="22">
        <f>V17+V21+V25+V31+V35+V36+V41</f>
        <v/>
      </c>
      <c r="W43" s="22">
        <f>W17+W21+W25+W31+W35+W36+W41</f>
        <v/>
      </c>
      <c r="X43" s="22">
        <f>X17+X21+X25+X31+X35+X36+X41</f>
        <v/>
      </c>
      <c r="Y43" s="22">
        <f>Y17+Y21+Y25+Y31+Y35+Y36+Y41</f>
        <v/>
      </c>
      <c r="Z43" s="22">
        <f>SUM(B43:Y43)</f>
        <v/>
      </c>
    </row>
    <row r="45">
      <c r="A45" s="4" t="inlineStr">
        <is>
          <t>COST OF GOODS SOLD (COGS)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9" t="inlineStr">
        <is>
          <t xml:space="preserve">  Potions COGS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>
      <c r="A47" s="17" t="inlineStr">
        <is>
          <t xml:space="preserve">    Product cost (EUR 23.50/unit)</t>
        </is>
      </c>
      <c r="B47" s="18">
        <f>ROUND(B15*Assumptions!B23,0)</f>
        <v/>
      </c>
      <c r="C47" s="18">
        <f>ROUND(C15*Assumptions!B23,0)</f>
        <v/>
      </c>
      <c r="D47" s="18">
        <f>ROUND(D15*Assumptions!B23,0)</f>
        <v/>
      </c>
      <c r="E47" s="18">
        <f>ROUND(E15*Assumptions!B23,0)</f>
        <v/>
      </c>
      <c r="F47" s="18">
        <f>ROUND(F15*Assumptions!B23,0)</f>
        <v/>
      </c>
      <c r="G47" s="18">
        <f>ROUND(G15*Assumptions!B23,0)</f>
        <v/>
      </c>
      <c r="H47" s="18">
        <f>ROUND(H15*Assumptions!B23,0)</f>
        <v/>
      </c>
      <c r="I47" s="18">
        <f>ROUND(I15*Assumptions!B23,0)</f>
        <v/>
      </c>
      <c r="J47" s="18">
        <f>ROUND(J15*Assumptions!B23,0)</f>
        <v/>
      </c>
      <c r="K47" s="18">
        <f>ROUND(K15*Assumptions!B23,0)</f>
        <v/>
      </c>
      <c r="L47" s="18">
        <f>ROUND(L15*Assumptions!B23,0)</f>
        <v/>
      </c>
      <c r="M47" s="18">
        <f>ROUND(M15*Assumptions!B23,0)</f>
        <v/>
      </c>
      <c r="N47" s="18">
        <f>ROUND(N15*Assumptions!B23,0)</f>
        <v/>
      </c>
      <c r="O47" s="18">
        <f>ROUND(O15*Assumptions!B23,0)</f>
        <v/>
      </c>
      <c r="P47" s="18">
        <f>ROUND(P15*Assumptions!B23,0)</f>
        <v/>
      </c>
      <c r="Q47" s="18">
        <f>ROUND(Q15*Assumptions!B23,0)</f>
        <v/>
      </c>
      <c r="R47" s="18">
        <f>ROUND(R15*Assumptions!B23,0)</f>
        <v/>
      </c>
      <c r="S47" s="18">
        <f>ROUND(S15*Assumptions!B23,0)</f>
        <v/>
      </c>
      <c r="T47" s="18">
        <f>ROUND(T15*Assumptions!B23,0)</f>
        <v/>
      </c>
      <c r="U47" s="18">
        <f>ROUND(U15*Assumptions!B23,0)</f>
        <v/>
      </c>
      <c r="V47" s="18">
        <f>ROUND(V15*Assumptions!B23,0)</f>
        <v/>
      </c>
      <c r="W47" s="18">
        <f>ROUND(W15*Assumptions!B23,0)</f>
        <v/>
      </c>
      <c r="X47" s="18">
        <f>ROUND(X15*Assumptions!B23,0)</f>
        <v/>
      </c>
      <c r="Y47" s="18">
        <f>ROUND(Y15*Assumptions!B23,0)</f>
        <v/>
      </c>
      <c r="Z47" s="18">
        <f>SUM(B47:Y47)</f>
        <v/>
      </c>
    </row>
    <row r="48">
      <c r="A48" s="17" t="inlineStr">
        <is>
          <t xml:space="preserve">    Waste/spoilage (5.5%)</t>
        </is>
      </c>
      <c r="B48" s="18">
        <f>ROUND(B17*Assumptions!B36,0)</f>
        <v/>
      </c>
      <c r="C48" s="18">
        <f>ROUND(C17*Assumptions!B36,0)</f>
        <v/>
      </c>
      <c r="D48" s="18">
        <f>ROUND(D17*Assumptions!B36,0)</f>
        <v/>
      </c>
      <c r="E48" s="18">
        <f>ROUND(E17*Assumptions!B36,0)</f>
        <v/>
      </c>
      <c r="F48" s="18">
        <f>ROUND(F17*Assumptions!B36,0)</f>
        <v/>
      </c>
      <c r="G48" s="18">
        <f>ROUND(G17*Assumptions!B36,0)</f>
        <v/>
      </c>
      <c r="H48" s="18">
        <f>ROUND(H17*Assumptions!B36,0)</f>
        <v/>
      </c>
      <c r="I48" s="18">
        <f>ROUND(I17*Assumptions!B36,0)</f>
        <v/>
      </c>
      <c r="J48" s="18">
        <f>ROUND(J17*Assumptions!B36,0)</f>
        <v/>
      </c>
      <c r="K48" s="18">
        <f>ROUND(K17*Assumptions!B36,0)</f>
        <v/>
      </c>
      <c r="L48" s="18">
        <f>ROUND(L17*Assumptions!B36,0)</f>
        <v/>
      </c>
      <c r="M48" s="18">
        <f>ROUND(M17*Assumptions!B36,0)</f>
        <v/>
      </c>
      <c r="N48" s="18">
        <f>ROUND(N17*Assumptions!B36,0)</f>
        <v/>
      </c>
      <c r="O48" s="18">
        <f>ROUND(O17*Assumptions!B36,0)</f>
        <v/>
      </c>
      <c r="P48" s="18">
        <f>ROUND(P17*Assumptions!B36,0)</f>
        <v/>
      </c>
      <c r="Q48" s="18">
        <f>ROUND(Q17*Assumptions!B36,0)</f>
        <v/>
      </c>
      <c r="R48" s="18">
        <f>ROUND(R17*Assumptions!B36,0)</f>
        <v/>
      </c>
      <c r="S48" s="18">
        <f>ROUND(S17*Assumptions!B36,0)</f>
        <v/>
      </c>
      <c r="T48" s="18">
        <f>ROUND(T17*Assumptions!B36,0)</f>
        <v/>
      </c>
      <c r="U48" s="18">
        <f>ROUND(U17*Assumptions!B36,0)</f>
        <v/>
      </c>
      <c r="V48" s="18">
        <f>ROUND(V17*Assumptions!B36,0)</f>
        <v/>
      </c>
      <c r="W48" s="18">
        <f>ROUND(W17*Assumptions!B36,0)</f>
        <v/>
      </c>
      <c r="X48" s="18">
        <f>ROUND(X17*Assumptions!B36,0)</f>
        <v/>
      </c>
      <c r="Y48" s="18">
        <f>ROUND(Y17*Assumptions!B36,0)</f>
        <v/>
      </c>
      <c r="Z48" s="18">
        <f>SUM(B48:Y48)</f>
        <v/>
      </c>
    </row>
    <row r="49">
      <c r="A49" s="13" t="inlineStr">
        <is>
          <t xml:space="preserve">    3PL fulfillment (EUR 2.50/unit)</t>
        </is>
      </c>
      <c r="B49" s="14">
        <f>IF(1&gt;=4,ROUND(B15*Assumptions!B37,0),0)</f>
        <v/>
      </c>
      <c r="C49" s="14">
        <f>IF(2&gt;=4,ROUND(C15*Assumptions!B37,0),0)</f>
        <v/>
      </c>
      <c r="D49" s="14">
        <f>IF(3&gt;=4,ROUND(D15*Assumptions!B37,0),0)</f>
        <v/>
      </c>
      <c r="E49" s="14">
        <f>IF(4&gt;=4,ROUND(E15*Assumptions!B37,0),0)</f>
        <v/>
      </c>
      <c r="F49" s="14">
        <f>IF(5&gt;=4,ROUND(F15*Assumptions!B37,0),0)</f>
        <v/>
      </c>
      <c r="G49" s="14">
        <f>IF(6&gt;=4,ROUND(G15*Assumptions!B37,0),0)</f>
        <v/>
      </c>
      <c r="H49" s="14">
        <f>IF(7&gt;=4,ROUND(H15*Assumptions!B37,0),0)</f>
        <v/>
      </c>
      <c r="I49" s="14">
        <f>IF(8&gt;=4,ROUND(I15*Assumptions!B37,0),0)</f>
        <v/>
      </c>
      <c r="J49" s="14">
        <f>IF(9&gt;=4,ROUND(J15*Assumptions!B37,0),0)</f>
        <v/>
      </c>
      <c r="K49" s="14">
        <f>IF(10&gt;=4,ROUND(K15*Assumptions!B37,0),0)</f>
        <v/>
      </c>
      <c r="L49" s="14">
        <f>IF(11&gt;=4,ROUND(L15*Assumptions!B37,0),0)</f>
        <v/>
      </c>
      <c r="M49" s="14">
        <f>IF(12&gt;=4,ROUND(M15*Assumptions!B37,0),0)</f>
        <v/>
      </c>
      <c r="N49" s="14">
        <f>IF(13&gt;=4,ROUND(N15*Assumptions!B37,0),0)</f>
        <v/>
      </c>
      <c r="O49" s="14">
        <f>IF(14&gt;=4,ROUND(O15*Assumptions!B37,0),0)</f>
        <v/>
      </c>
      <c r="P49" s="14">
        <f>IF(15&gt;=4,ROUND(P15*Assumptions!B37,0),0)</f>
        <v/>
      </c>
      <c r="Q49" s="14">
        <f>IF(16&gt;=4,ROUND(Q15*Assumptions!B37,0),0)</f>
        <v/>
      </c>
      <c r="R49" s="14">
        <f>IF(17&gt;=4,ROUND(R15*Assumptions!B37,0),0)</f>
        <v/>
      </c>
      <c r="S49" s="14">
        <f>IF(18&gt;=4,ROUND(S15*Assumptions!B37,0),0)</f>
        <v/>
      </c>
      <c r="T49" s="14">
        <f>IF(19&gt;=4,ROUND(T15*Assumptions!B37,0),0)</f>
        <v/>
      </c>
      <c r="U49" s="14">
        <f>IF(20&gt;=4,ROUND(U15*Assumptions!B37,0),0)</f>
        <v/>
      </c>
      <c r="V49" s="14">
        <f>IF(21&gt;=4,ROUND(V15*Assumptions!B37,0),0)</f>
        <v/>
      </c>
      <c r="W49" s="14">
        <f>IF(22&gt;=4,ROUND(W15*Assumptions!B37,0),0)</f>
        <v/>
      </c>
      <c r="X49" s="14">
        <f>IF(23&gt;=4,ROUND(X15*Assumptions!B37,0),0)</f>
        <v/>
      </c>
      <c r="Y49" s="14">
        <f>IF(24&gt;=4,ROUND(Y15*Assumptions!B37,0),0)</f>
        <v/>
      </c>
      <c r="Z49" s="14">
        <f>SUM(B49:Y49)</f>
        <v/>
      </c>
    </row>
    <row r="50">
      <c r="A50" s="13" t="inlineStr">
        <is>
          <t xml:space="preserve">  LED Practitioner (EUR 25/session)</t>
        </is>
      </c>
      <c r="B50" s="14">
        <f>ROUND(B19*Assumptions!B25,0)</f>
        <v/>
      </c>
      <c r="C50" s="14">
        <f>ROUND(C19*Assumptions!B25,0)</f>
        <v/>
      </c>
      <c r="D50" s="14">
        <f>ROUND(D19*Assumptions!B25,0)</f>
        <v/>
      </c>
      <c r="E50" s="14">
        <f>ROUND(E19*Assumptions!B25,0)</f>
        <v/>
      </c>
      <c r="F50" s="14">
        <f>ROUND(F19*Assumptions!B25,0)</f>
        <v/>
      </c>
      <c r="G50" s="14">
        <f>ROUND(G19*Assumptions!B25,0)</f>
        <v/>
      </c>
      <c r="H50" s="14">
        <f>ROUND(H19*Assumptions!B25,0)</f>
        <v/>
      </c>
      <c r="I50" s="14">
        <f>ROUND(I19*Assumptions!B25,0)</f>
        <v/>
      </c>
      <c r="J50" s="14">
        <f>ROUND(J19*Assumptions!B25,0)</f>
        <v/>
      </c>
      <c r="K50" s="14">
        <f>ROUND(K19*Assumptions!B25,0)</f>
        <v/>
      </c>
      <c r="L50" s="14">
        <f>ROUND(L19*Assumptions!B25,0)</f>
        <v/>
      </c>
      <c r="M50" s="14">
        <f>ROUND(M19*Assumptions!B25,0)</f>
        <v/>
      </c>
      <c r="N50" s="14">
        <f>ROUND(N19*Assumptions!B25,0)</f>
        <v/>
      </c>
      <c r="O50" s="14">
        <f>ROUND(O19*Assumptions!B25,0)</f>
        <v/>
      </c>
      <c r="P50" s="14">
        <f>ROUND(P19*Assumptions!B25,0)</f>
        <v/>
      </c>
      <c r="Q50" s="14">
        <f>ROUND(Q19*Assumptions!B25,0)</f>
        <v/>
      </c>
      <c r="R50" s="14">
        <f>ROUND(R19*Assumptions!B25,0)</f>
        <v/>
      </c>
      <c r="S50" s="14">
        <f>ROUND(S19*Assumptions!B25,0)</f>
        <v/>
      </c>
      <c r="T50" s="14">
        <f>ROUND(T19*Assumptions!B25,0)</f>
        <v/>
      </c>
      <c r="U50" s="14">
        <f>ROUND(U19*Assumptions!B25,0)</f>
        <v/>
      </c>
      <c r="V50" s="14">
        <f>ROUND(V19*Assumptions!B25,0)</f>
        <v/>
      </c>
      <c r="W50" s="14">
        <f>ROUND(W19*Assumptions!B25,0)</f>
        <v/>
      </c>
      <c r="X50" s="14">
        <f>ROUND(X19*Assumptions!B25,0)</f>
        <v/>
      </c>
      <c r="Y50" s="14">
        <f>ROUND(Y19*Assumptions!B25,0)</f>
        <v/>
      </c>
      <c r="Z50" s="14">
        <f>SUM(B50:Y50)</f>
        <v/>
      </c>
    </row>
    <row r="51">
      <c r="A51" s="9" t="inlineStr">
        <is>
          <t xml:space="preserve">  Smoothie Bar COGS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>
      <c r="A52" s="13" t="inlineStr">
        <is>
          <t xml:space="preserve">    Ingredients + packaging (35%)</t>
        </is>
      </c>
      <c r="B52" s="14">
        <f>ROUND(B25*Assumptions!B27,0)</f>
        <v/>
      </c>
      <c r="C52" s="14">
        <f>ROUND(C25*Assumptions!B27,0)</f>
        <v/>
      </c>
      <c r="D52" s="14">
        <f>ROUND(D25*Assumptions!B27,0)</f>
        <v/>
      </c>
      <c r="E52" s="14">
        <f>ROUND(E25*Assumptions!B27,0)</f>
        <v/>
      </c>
      <c r="F52" s="14">
        <f>ROUND(F25*Assumptions!B27,0)</f>
        <v/>
      </c>
      <c r="G52" s="14">
        <f>ROUND(G25*Assumptions!B27,0)</f>
        <v/>
      </c>
      <c r="H52" s="14">
        <f>ROUND(H25*Assumptions!B27,0)</f>
        <v/>
      </c>
      <c r="I52" s="14">
        <f>ROUND(I25*Assumptions!B27,0)</f>
        <v/>
      </c>
      <c r="J52" s="14">
        <f>ROUND(J25*Assumptions!B27,0)</f>
        <v/>
      </c>
      <c r="K52" s="14">
        <f>ROUND(K25*Assumptions!B27,0)</f>
        <v/>
      </c>
      <c r="L52" s="14">
        <f>ROUND(L25*Assumptions!B27,0)</f>
        <v/>
      </c>
      <c r="M52" s="14">
        <f>ROUND(M25*Assumptions!B27,0)</f>
        <v/>
      </c>
      <c r="N52" s="14">
        <f>ROUND(N25*Assumptions!B27,0)</f>
        <v/>
      </c>
      <c r="O52" s="14">
        <f>ROUND(O25*Assumptions!B27,0)</f>
        <v/>
      </c>
      <c r="P52" s="14">
        <f>ROUND(P25*Assumptions!B27,0)</f>
        <v/>
      </c>
      <c r="Q52" s="14">
        <f>ROUND(Q25*Assumptions!B27,0)</f>
        <v/>
      </c>
      <c r="R52" s="14">
        <f>ROUND(R25*Assumptions!B27,0)</f>
        <v/>
      </c>
      <c r="S52" s="14">
        <f>ROUND(S25*Assumptions!B27,0)</f>
        <v/>
      </c>
      <c r="T52" s="14">
        <f>ROUND(T25*Assumptions!B27,0)</f>
        <v/>
      </c>
      <c r="U52" s="14">
        <f>ROUND(U25*Assumptions!B27,0)</f>
        <v/>
      </c>
      <c r="V52" s="14">
        <f>ROUND(V25*Assumptions!B27,0)</f>
        <v/>
      </c>
      <c r="W52" s="14">
        <f>ROUND(W25*Assumptions!B27,0)</f>
        <v/>
      </c>
      <c r="X52" s="14">
        <f>ROUND(X25*Assumptions!B27,0)</f>
        <v/>
      </c>
      <c r="Y52" s="14">
        <f>ROUND(Y25*Assumptions!B27,0)</f>
        <v/>
      </c>
      <c r="Z52" s="14">
        <f>SUM(B52:Y52)</f>
        <v/>
      </c>
    </row>
    <row r="53">
      <c r="A53" s="13" t="inlineStr">
        <is>
          <t xml:space="preserve">  Events &amp; Ticketing</t>
        </is>
      </c>
      <c r="B53" s="14">
        <f>ROUND(B27*Assumptions!B29+B31*Assumptions!B30,0)</f>
        <v/>
      </c>
      <c r="C53" s="14">
        <f>ROUND(C27*Assumptions!B29+C31*Assumptions!B30,0)</f>
        <v/>
      </c>
      <c r="D53" s="14">
        <f>ROUND(D27*Assumptions!B29+D31*Assumptions!B30,0)</f>
        <v/>
      </c>
      <c r="E53" s="14">
        <f>ROUND(E27*Assumptions!B29+E31*Assumptions!B30,0)</f>
        <v/>
      </c>
      <c r="F53" s="14">
        <f>ROUND(F27*Assumptions!B29+F31*Assumptions!B30,0)</f>
        <v/>
      </c>
      <c r="G53" s="14">
        <f>ROUND(G27*Assumptions!B29+G31*Assumptions!B30,0)</f>
        <v/>
      </c>
      <c r="H53" s="14">
        <f>ROUND(H27*Assumptions!B29+H31*Assumptions!B30,0)</f>
        <v/>
      </c>
      <c r="I53" s="14">
        <f>ROUND(I27*Assumptions!B29+I31*Assumptions!B30,0)</f>
        <v/>
      </c>
      <c r="J53" s="14">
        <f>ROUND(J27*Assumptions!B29+J31*Assumptions!B30,0)</f>
        <v/>
      </c>
      <c r="K53" s="14">
        <f>ROUND(K27*Assumptions!B29+K31*Assumptions!B30,0)</f>
        <v/>
      </c>
      <c r="L53" s="14">
        <f>ROUND(L27*Assumptions!B29+L31*Assumptions!B30,0)</f>
        <v/>
      </c>
      <c r="M53" s="14">
        <f>ROUND(M27*Assumptions!B29+M31*Assumptions!B30,0)</f>
        <v/>
      </c>
      <c r="N53" s="14">
        <f>ROUND(N27*Assumptions!B29+N31*Assumptions!B30,0)</f>
        <v/>
      </c>
      <c r="O53" s="14">
        <f>ROUND(O27*Assumptions!B29+O31*Assumptions!B30,0)</f>
        <v/>
      </c>
      <c r="P53" s="14">
        <f>ROUND(P27*Assumptions!B29+P31*Assumptions!B30,0)</f>
        <v/>
      </c>
      <c r="Q53" s="14">
        <f>ROUND(Q27*Assumptions!B29+Q31*Assumptions!B30,0)</f>
        <v/>
      </c>
      <c r="R53" s="14">
        <f>ROUND(R27*Assumptions!B29+R31*Assumptions!B30,0)</f>
        <v/>
      </c>
      <c r="S53" s="14">
        <f>ROUND(S27*Assumptions!B29+S31*Assumptions!B30,0)</f>
        <v/>
      </c>
      <c r="T53" s="14">
        <f>ROUND(T27*Assumptions!B29+T31*Assumptions!B30,0)</f>
        <v/>
      </c>
      <c r="U53" s="14">
        <f>ROUND(U27*Assumptions!B29+U31*Assumptions!B30,0)</f>
        <v/>
      </c>
      <c r="V53" s="14">
        <f>ROUND(V27*Assumptions!B29+V31*Assumptions!B30,0)</f>
        <v/>
      </c>
      <c r="W53" s="14">
        <f>ROUND(W27*Assumptions!B29+W31*Assumptions!B30,0)</f>
        <v/>
      </c>
      <c r="X53" s="14">
        <f>ROUND(X27*Assumptions!B29+X31*Assumptions!B30,0)</f>
        <v/>
      </c>
      <c r="Y53" s="14">
        <f>ROUND(Y27*Assumptions!B29+Y31*Assumptions!B30,0)</f>
        <v/>
      </c>
      <c r="Z53" s="14">
        <f>SUM(B53:Y53)</f>
        <v/>
      </c>
    </row>
    <row r="54">
      <c r="A54" s="17" t="inlineStr">
        <is>
          <t xml:space="preserve">  Doctor Verification (EUR 25/new)</t>
        </is>
      </c>
      <c r="B54" s="18">
        <f>ROUND('Growth Curves'!B11*Assumptions!B32,0)</f>
        <v/>
      </c>
      <c r="C54" s="18">
        <f>ROUND('Growth Curves'!C11*Assumptions!B32,0)</f>
        <v/>
      </c>
      <c r="D54" s="18">
        <f>ROUND('Growth Curves'!D11*Assumptions!B32,0)</f>
        <v/>
      </c>
      <c r="E54" s="18">
        <f>ROUND('Growth Curves'!E11*Assumptions!B32,0)</f>
        <v/>
      </c>
      <c r="F54" s="18">
        <f>ROUND('Growth Curves'!F11*Assumptions!B32,0)</f>
        <v/>
      </c>
      <c r="G54" s="18">
        <f>ROUND('Growth Curves'!G11*Assumptions!B32,0)</f>
        <v/>
      </c>
      <c r="H54" s="18">
        <f>ROUND('Growth Curves'!H11*Assumptions!B32,0)</f>
        <v/>
      </c>
      <c r="I54" s="18">
        <f>ROUND('Growth Curves'!I11*Assumptions!B32,0)</f>
        <v/>
      </c>
      <c r="J54" s="18">
        <f>ROUND('Growth Curves'!J11*Assumptions!B32,0)</f>
        <v/>
      </c>
      <c r="K54" s="18">
        <f>ROUND('Growth Curves'!K11*Assumptions!B32,0)</f>
        <v/>
      </c>
      <c r="L54" s="18">
        <f>ROUND('Growth Curves'!L11*Assumptions!B32,0)</f>
        <v/>
      </c>
      <c r="M54" s="18">
        <f>ROUND('Growth Curves'!M11*Assumptions!B32,0)</f>
        <v/>
      </c>
      <c r="N54" s="18">
        <f>ROUND('Growth Curves'!N11*Assumptions!B32,0)</f>
        <v/>
      </c>
      <c r="O54" s="18">
        <f>ROUND('Growth Curves'!O11*Assumptions!B32,0)</f>
        <v/>
      </c>
      <c r="P54" s="18">
        <f>ROUND('Growth Curves'!P11*Assumptions!B32,0)</f>
        <v/>
      </c>
      <c r="Q54" s="18">
        <f>ROUND('Growth Curves'!Q11*Assumptions!B32,0)</f>
        <v/>
      </c>
      <c r="R54" s="18">
        <f>ROUND('Growth Curves'!R11*Assumptions!B32,0)</f>
        <v/>
      </c>
      <c r="S54" s="18">
        <f>ROUND('Growth Curves'!S11*Assumptions!B32,0)</f>
        <v/>
      </c>
      <c r="T54" s="18">
        <f>ROUND('Growth Curves'!T11*Assumptions!B32,0)</f>
        <v/>
      </c>
      <c r="U54" s="18">
        <f>ROUND('Growth Curves'!U11*Assumptions!B32,0)</f>
        <v/>
      </c>
      <c r="V54" s="18">
        <f>ROUND('Growth Curves'!V11*Assumptions!B32,0)</f>
        <v/>
      </c>
      <c r="W54" s="18">
        <f>ROUND('Growth Curves'!W11*Assumptions!B32,0)</f>
        <v/>
      </c>
      <c r="X54" s="18">
        <f>ROUND('Growth Curves'!X11*Assumptions!B32,0)</f>
        <v/>
      </c>
      <c r="Y54" s="18">
        <f>ROUND('Growth Curves'!Y11*Assumptions!B32,0)</f>
        <v/>
      </c>
      <c r="Z54" s="18">
        <f>SUM(B54:Y54)</f>
        <v/>
      </c>
    </row>
    <row r="55">
      <c r="A55" s="17" t="inlineStr">
        <is>
          <t xml:space="preserve">  AI API — User-Facing (EUR 0.35/sub)</t>
        </is>
      </c>
      <c r="B55" s="18">
        <f>ROUND('Growth Curves'!B16*Assumptions!B39,0)</f>
        <v/>
      </c>
      <c r="C55" s="18">
        <f>ROUND('Growth Curves'!C16*Assumptions!B39,0)</f>
        <v/>
      </c>
      <c r="D55" s="18">
        <f>ROUND('Growth Curves'!D16*Assumptions!B39,0)</f>
        <v/>
      </c>
      <c r="E55" s="18">
        <f>ROUND('Growth Curves'!E16*Assumptions!B39,0)</f>
        <v/>
      </c>
      <c r="F55" s="18">
        <f>ROUND('Growth Curves'!F16*Assumptions!B39,0)</f>
        <v/>
      </c>
      <c r="G55" s="18">
        <f>ROUND('Growth Curves'!G16*Assumptions!B39,0)</f>
        <v/>
      </c>
      <c r="H55" s="18">
        <f>ROUND('Growth Curves'!H16*Assumptions!B39,0)</f>
        <v/>
      </c>
      <c r="I55" s="18">
        <f>ROUND('Growth Curves'!I16*Assumptions!B39,0)</f>
        <v/>
      </c>
      <c r="J55" s="18">
        <f>ROUND('Growth Curves'!J16*Assumptions!B39,0)</f>
        <v/>
      </c>
      <c r="K55" s="18">
        <f>ROUND('Growth Curves'!K16*Assumptions!B39,0)</f>
        <v/>
      </c>
      <c r="L55" s="18">
        <f>ROUND('Growth Curves'!L16*Assumptions!B39,0)</f>
        <v/>
      </c>
      <c r="M55" s="18">
        <f>ROUND('Growth Curves'!M16*Assumptions!B39,0)</f>
        <v/>
      </c>
      <c r="N55" s="18">
        <f>ROUND('Growth Curves'!N16*Assumptions!B39,0)</f>
        <v/>
      </c>
      <c r="O55" s="18">
        <f>ROUND('Growth Curves'!O16*Assumptions!B39,0)</f>
        <v/>
      </c>
      <c r="P55" s="18">
        <f>ROUND('Growth Curves'!P16*Assumptions!B39,0)</f>
        <v/>
      </c>
      <c r="Q55" s="18">
        <f>ROUND('Growth Curves'!Q16*Assumptions!B39,0)</f>
        <v/>
      </c>
      <c r="R55" s="18">
        <f>ROUND('Growth Curves'!R16*Assumptions!B39,0)</f>
        <v/>
      </c>
      <c r="S55" s="18">
        <f>ROUND('Growth Curves'!S16*Assumptions!B39,0)</f>
        <v/>
      </c>
      <c r="T55" s="18">
        <f>ROUND('Growth Curves'!T16*Assumptions!B39,0)</f>
        <v/>
      </c>
      <c r="U55" s="18">
        <f>ROUND('Growth Curves'!U16*Assumptions!B39,0)</f>
        <v/>
      </c>
      <c r="V55" s="18">
        <f>ROUND('Growth Curves'!V16*Assumptions!B39,0)</f>
        <v/>
      </c>
      <c r="W55" s="18">
        <f>ROUND('Growth Curves'!W16*Assumptions!B39,0)</f>
        <v/>
      </c>
      <c r="X55" s="18">
        <f>ROUND('Growth Curves'!X16*Assumptions!B39,0)</f>
        <v/>
      </c>
      <c r="Y55" s="18">
        <f>ROUND('Growth Curves'!Y16*Assumptions!B39,0)</f>
        <v/>
      </c>
      <c r="Z55" s="18">
        <f>SUM(B55:Y55)</f>
        <v/>
      </c>
    </row>
    <row r="56">
      <c r="A56" s="17" t="inlineStr">
        <is>
          <t xml:space="preserve">  Refund/Returns Reserve (1.5%)</t>
        </is>
      </c>
      <c r="B56" s="18">
        <f>ROUND((B17+B25+B31)*Assumptions!B40,0)</f>
        <v/>
      </c>
      <c r="C56" s="18">
        <f>ROUND((C17+C25+C31)*Assumptions!B40,0)</f>
        <v/>
      </c>
      <c r="D56" s="18">
        <f>ROUND((D17+D25+D31)*Assumptions!B40,0)</f>
        <v/>
      </c>
      <c r="E56" s="18">
        <f>ROUND((E17+E25+E31)*Assumptions!B40,0)</f>
        <v/>
      </c>
      <c r="F56" s="18">
        <f>ROUND((F17+F25+F31)*Assumptions!B40,0)</f>
        <v/>
      </c>
      <c r="G56" s="18">
        <f>ROUND((G17+G25+G31)*Assumptions!B40,0)</f>
        <v/>
      </c>
      <c r="H56" s="18">
        <f>ROUND((H17+H25+H31)*Assumptions!B40,0)</f>
        <v/>
      </c>
      <c r="I56" s="18">
        <f>ROUND((I17+I25+I31)*Assumptions!B40,0)</f>
        <v/>
      </c>
      <c r="J56" s="18">
        <f>ROUND((J17+J25+J31)*Assumptions!B40,0)</f>
        <v/>
      </c>
      <c r="K56" s="18">
        <f>ROUND((K17+K25+K31)*Assumptions!B40,0)</f>
        <v/>
      </c>
      <c r="L56" s="18">
        <f>ROUND((L17+L25+L31)*Assumptions!B40,0)</f>
        <v/>
      </c>
      <c r="M56" s="18">
        <f>ROUND((M17+M25+M31)*Assumptions!B40,0)</f>
        <v/>
      </c>
      <c r="N56" s="18">
        <f>ROUND((N17+N25+N31)*Assumptions!B40,0)</f>
        <v/>
      </c>
      <c r="O56" s="18">
        <f>ROUND((O17+O25+O31)*Assumptions!B40,0)</f>
        <v/>
      </c>
      <c r="P56" s="18">
        <f>ROUND((P17+P25+P31)*Assumptions!B40,0)</f>
        <v/>
      </c>
      <c r="Q56" s="18">
        <f>ROUND((Q17+Q25+Q31)*Assumptions!B40,0)</f>
        <v/>
      </c>
      <c r="R56" s="18">
        <f>ROUND((R17+R25+R31)*Assumptions!B40,0)</f>
        <v/>
      </c>
      <c r="S56" s="18">
        <f>ROUND((S17+S25+S31)*Assumptions!B40,0)</f>
        <v/>
      </c>
      <c r="T56" s="18">
        <f>ROUND((T17+T25+T31)*Assumptions!B40,0)</f>
        <v/>
      </c>
      <c r="U56" s="18">
        <f>ROUND((U17+U25+U31)*Assumptions!B40,0)</f>
        <v/>
      </c>
      <c r="V56" s="18">
        <f>ROUND((V17+V25+V31)*Assumptions!B40,0)</f>
        <v/>
      </c>
      <c r="W56" s="18">
        <f>ROUND((W17+W25+W31)*Assumptions!B40,0)</f>
        <v/>
      </c>
      <c r="X56" s="18">
        <f>ROUND((X17+X25+X31)*Assumptions!B40,0)</f>
        <v/>
      </c>
      <c r="Y56" s="18">
        <f>ROUND((Y17+Y25+Y31)*Assumptions!B40,0)</f>
        <v/>
      </c>
      <c r="Z56" s="18">
        <f>SUM(B56:Y56)</f>
        <v/>
      </c>
    </row>
    <row r="57">
      <c r="A57" s="17" t="inlineStr">
        <is>
          <t xml:space="preserve">  Stripe Processing (2.9%)</t>
        </is>
      </c>
      <c r="B57" s="18">
        <f>ROUND(B43*Assumptions!B38,0)</f>
        <v/>
      </c>
      <c r="C57" s="18">
        <f>ROUND(C43*Assumptions!B38,0)</f>
        <v/>
      </c>
      <c r="D57" s="18">
        <f>ROUND(D43*Assumptions!B38,0)</f>
        <v/>
      </c>
      <c r="E57" s="18">
        <f>ROUND(E43*Assumptions!B38,0)</f>
        <v/>
      </c>
      <c r="F57" s="18">
        <f>ROUND(F43*Assumptions!B38,0)</f>
        <v/>
      </c>
      <c r="G57" s="18">
        <f>ROUND(G43*Assumptions!B38,0)</f>
        <v/>
      </c>
      <c r="H57" s="18">
        <f>ROUND(H43*Assumptions!B38,0)</f>
        <v/>
      </c>
      <c r="I57" s="18">
        <f>ROUND(I43*Assumptions!B38,0)</f>
        <v/>
      </c>
      <c r="J57" s="18">
        <f>ROUND(J43*Assumptions!B38,0)</f>
        <v/>
      </c>
      <c r="K57" s="18">
        <f>ROUND(K43*Assumptions!B38,0)</f>
        <v/>
      </c>
      <c r="L57" s="18">
        <f>ROUND(L43*Assumptions!B38,0)</f>
        <v/>
      </c>
      <c r="M57" s="18">
        <f>ROUND(M43*Assumptions!B38,0)</f>
        <v/>
      </c>
      <c r="N57" s="18">
        <f>ROUND(N43*Assumptions!B38,0)</f>
        <v/>
      </c>
      <c r="O57" s="18">
        <f>ROUND(O43*Assumptions!B38,0)</f>
        <v/>
      </c>
      <c r="P57" s="18">
        <f>ROUND(P43*Assumptions!B38,0)</f>
        <v/>
      </c>
      <c r="Q57" s="18">
        <f>ROUND(Q43*Assumptions!B38,0)</f>
        <v/>
      </c>
      <c r="R57" s="18">
        <f>ROUND(R43*Assumptions!B38,0)</f>
        <v/>
      </c>
      <c r="S57" s="18">
        <f>ROUND(S43*Assumptions!B38,0)</f>
        <v/>
      </c>
      <c r="T57" s="18">
        <f>ROUND(T43*Assumptions!B38,0)</f>
        <v/>
      </c>
      <c r="U57" s="18">
        <f>ROUND(U43*Assumptions!B38,0)</f>
        <v/>
      </c>
      <c r="V57" s="18">
        <f>ROUND(V43*Assumptions!B38,0)</f>
        <v/>
      </c>
      <c r="W57" s="18">
        <f>ROUND(W43*Assumptions!B38,0)</f>
        <v/>
      </c>
      <c r="X57" s="18">
        <f>ROUND(X43*Assumptions!B38,0)</f>
        <v/>
      </c>
      <c r="Y57" s="18">
        <f>ROUND(Y43*Assumptions!B38,0)</f>
        <v/>
      </c>
      <c r="Z57" s="18">
        <f>SUM(B57:Y57)</f>
        <v/>
      </c>
    </row>
    <row r="59">
      <c r="A59" s="21" t="inlineStr">
        <is>
          <t>TOTAL COGS</t>
        </is>
      </c>
      <c r="B59" s="22">
        <f>B47+B48+B49+B50+B52+B53+B54+B55+B56+B57</f>
        <v/>
      </c>
      <c r="C59" s="22">
        <f>C47+C48+C49+C50+C52+C53+C54+C55+C56+C57</f>
        <v/>
      </c>
      <c r="D59" s="22">
        <f>D47+D48+D49+D50+D52+D53+D54+D55+D56+D57</f>
        <v/>
      </c>
      <c r="E59" s="22">
        <f>E47+E48+E49+E50+E52+E53+E54+E55+E56+E57</f>
        <v/>
      </c>
      <c r="F59" s="22">
        <f>F47+F48+F49+F50+F52+F53+F54+F55+F56+F57</f>
        <v/>
      </c>
      <c r="G59" s="22">
        <f>G47+G48+G49+G50+G52+G53+G54+G55+G56+G57</f>
        <v/>
      </c>
      <c r="H59" s="22">
        <f>H47+H48+H49+H50+H52+H53+H54+H55+H56+H57</f>
        <v/>
      </c>
      <c r="I59" s="22">
        <f>I47+I48+I49+I50+I52+I53+I54+I55+I56+I57</f>
        <v/>
      </c>
      <c r="J59" s="22">
        <f>J47+J48+J49+J50+J52+J53+J54+J55+J56+J57</f>
        <v/>
      </c>
      <c r="K59" s="22">
        <f>K47+K48+K49+K50+K52+K53+K54+K55+K56+K57</f>
        <v/>
      </c>
      <c r="L59" s="22">
        <f>L47+L48+L49+L50+L52+L53+L54+L55+L56+L57</f>
        <v/>
      </c>
      <c r="M59" s="22">
        <f>M47+M48+M49+M50+M52+M53+M54+M55+M56+M57</f>
        <v/>
      </c>
      <c r="N59" s="22">
        <f>N47+N48+N49+N50+N52+N53+N54+N55+N56+N57</f>
        <v/>
      </c>
      <c r="O59" s="22">
        <f>O47+O48+O49+O50+O52+O53+O54+O55+O56+O57</f>
        <v/>
      </c>
      <c r="P59" s="22">
        <f>P47+P48+P49+P50+P52+P53+P54+P55+P56+P57</f>
        <v/>
      </c>
      <c r="Q59" s="22">
        <f>Q47+Q48+Q49+Q50+Q52+Q53+Q54+Q55+Q56+Q57</f>
        <v/>
      </c>
      <c r="R59" s="22">
        <f>R47+R48+R49+R50+R52+R53+R54+R55+R56+R57</f>
        <v/>
      </c>
      <c r="S59" s="22">
        <f>S47+S48+S49+S50+S52+S53+S54+S55+S56+S57</f>
        <v/>
      </c>
      <c r="T59" s="22">
        <f>T47+T48+T49+T50+T52+T53+T54+T55+T56+T57</f>
        <v/>
      </c>
      <c r="U59" s="22">
        <f>U47+U48+U49+U50+U52+U53+U54+U55+U56+U57</f>
        <v/>
      </c>
      <c r="V59" s="22">
        <f>V47+V48+V49+V50+V52+V53+V54+V55+V56+V57</f>
        <v/>
      </c>
      <c r="W59" s="22">
        <f>W47+W48+W49+W50+W52+W53+W54+W55+W56+W57</f>
        <v/>
      </c>
      <c r="X59" s="22">
        <f>X47+X48+X49+X50+X52+X53+X54+X55+X56+X57</f>
        <v/>
      </c>
      <c r="Y59" s="22">
        <f>Y47+Y48+Y49+Y50+Y52+Y53+Y54+Y55+Y56+Y57</f>
        <v/>
      </c>
      <c r="Z59" s="22">
        <f>SUM(B59:Y59)</f>
        <v/>
      </c>
    </row>
    <row r="61">
      <c r="A61" s="21" t="inlineStr">
        <is>
          <t>GROSS PROFIT</t>
        </is>
      </c>
      <c r="B61" s="22">
        <f>B43-B59</f>
        <v/>
      </c>
      <c r="C61" s="22">
        <f>C43-C59</f>
        <v/>
      </c>
      <c r="D61" s="22">
        <f>D43-D59</f>
        <v/>
      </c>
      <c r="E61" s="22">
        <f>E43-E59</f>
        <v/>
      </c>
      <c r="F61" s="22">
        <f>F43-F59</f>
        <v/>
      </c>
      <c r="G61" s="22">
        <f>G43-G59</f>
        <v/>
      </c>
      <c r="H61" s="22">
        <f>H43-H59</f>
        <v/>
      </c>
      <c r="I61" s="22">
        <f>I43-I59</f>
        <v/>
      </c>
      <c r="J61" s="22">
        <f>J43-J59</f>
        <v/>
      </c>
      <c r="K61" s="22">
        <f>K43-K59</f>
        <v/>
      </c>
      <c r="L61" s="22">
        <f>L43-L59</f>
        <v/>
      </c>
      <c r="M61" s="22">
        <f>M43-M59</f>
        <v/>
      </c>
      <c r="N61" s="22">
        <f>N43-N59</f>
        <v/>
      </c>
      <c r="O61" s="22">
        <f>O43-O59</f>
        <v/>
      </c>
      <c r="P61" s="22">
        <f>P43-P59</f>
        <v/>
      </c>
      <c r="Q61" s="22">
        <f>Q43-Q59</f>
        <v/>
      </c>
      <c r="R61" s="22">
        <f>R43-R59</f>
        <v/>
      </c>
      <c r="S61" s="22">
        <f>S43-S59</f>
        <v/>
      </c>
      <c r="T61" s="22">
        <f>T43-T59</f>
        <v/>
      </c>
      <c r="U61" s="22">
        <f>U43-U59</f>
        <v/>
      </c>
      <c r="V61" s="22">
        <f>V43-V59</f>
        <v/>
      </c>
      <c r="W61" s="22">
        <f>W43-W59</f>
        <v/>
      </c>
      <c r="X61" s="22">
        <f>X43-X59</f>
        <v/>
      </c>
      <c r="Y61" s="22">
        <f>Y43-Y59</f>
        <v/>
      </c>
      <c r="Z61" s="22">
        <f>SUM(B61:Y61)</f>
        <v/>
      </c>
    </row>
    <row r="62">
      <c r="A62" s="5" t="inlineStr">
        <is>
          <t xml:space="preserve">  Gross Margin %</t>
        </is>
      </c>
      <c r="B62" s="23">
        <f>IF(B43&gt;0,B61/B43,0)</f>
        <v/>
      </c>
      <c r="C62" s="23">
        <f>IF(C43&gt;0,C61/C43,0)</f>
        <v/>
      </c>
      <c r="D62" s="23">
        <f>IF(D43&gt;0,D61/D43,0)</f>
        <v/>
      </c>
      <c r="E62" s="23">
        <f>IF(E43&gt;0,E61/E43,0)</f>
        <v/>
      </c>
      <c r="F62" s="23">
        <f>IF(F43&gt;0,F61/F43,0)</f>
        <v/>
      </c>
      <c r="G62" s="23">
        <f>IF(G43&gt;0,G61/G43,0)</f>
        <v/>
      </c>
      <c r="H62" s="23">
        <f>IF(H43&gt;0,H61/H43,0)</f>
        <v/>
      </c>
      <c r="I62" s="23">
        <f>IF(I43&gt;0,I61/I43,0)</f>
        <v/>
      </c>
      <c r="J62" s="23">
        <f>IF(J43&gt;0,J61/J43,0)</f>
        <v/>
      </c>
      <c r="K62" s="23">
        <f>IF(K43&gt;0,K61/K43,0)</f>
        <v/>
      </c>
      <c r="L62" s="23">
        <f>IF(L43&gt;0,L61/L43,0)</f>
        <v/>
      </c>
      <c r="M62" s="23">
        <f>IF(M43&gt;0,M61/M43,0)</f>
        <v/>
      </c>
      <c r="N62" s="23">
        <f>IF(N43&gt;0,N61/N43,0)</f>
        <v/>
      </c>
      <c r="O62" s="23">
        <f>IF(O43&gt;0,O61/O43,0)</f>
        <v/>
      </c>
      <c r="P62" s="23">
        <f>IF(P43&gt;0,P61/P43,0)</f>
        <v/>
      </c>
      <c r="Q62" s="23">
        <f>IF(Q43&gt;0,Q61/Q43,0)</f>
        <v/>
      </c>
      <c r="R62" s="23">
        <f>IF(R43&gt;0,R61/R43,0)</f>
        <v/>
      </c>
      <c r="S62" s="23">
        <f>IF(S43&gt;0,S61/S43,0)</f>
        <v/>
      </c>
      <c r="T62" s="23">
        <f>IF(T43&gt;0,T61/T43,0)</f>
        <v/>
      </c>
      <c r="U62" s="23">
        <f>IF(U43&gt;0,U61/U43,0)</f>
        <v/>
      </c>
      <c r="V62" s="23">
        <f>IF(V43&gt;0,V61/V43,0)</f>
        <v/>
      </c>
      <c r="W62" s="23">
        <f>IF(W43&gt;0,W61/W43,0)</f>
        <v/>
      </c>
      <c r="X62" s="23">
        <f>IF(X43&gt;0,X61/X43,0)</f>
        <v/>
      </c>
      <c r="Y62" s="23">
        <f>IF(Y43&gt;0,Y61/Y43,0)</f>
        <v/>
      </c>
      <c r="Z62" s="23">
        <f>IF(Z43&gt;0,Z61/Z43,0)</f>
        <v/>
      </c>
    </row>
    <row r="64">
      <c r="A64" s="4" t="inlineStr">
        <is>
          <t>OPERATING EXPENSES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9" t="inlineStr">
        <is>
          <t xml:space="preserve">  Payroll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>
      <c r="A66" s="17" t="inlineStr">
        <is>
          <t xml:space="preserve">    Timu (CEO)</t>
        </is>
      </c>
      <c r="B66" s="18">
        <f>ROUND(Assumptions!B43*Assumptions!B44,0)</f>
        <v/>
      </c>
      <c r="C66" s="18">
        <f>ROUND(Assumptions!B43*Assumptions!B44,0)</f>
        <v/>
      </c>
      <c r="D66" s="18">
        <f>ROUND(Assumptions!B43*Assumptions!B44,0)</f>
        <v/>
      </c>
      <c r="E66" s="18">
        <f>ROUND(Assumptions!B43*Assumptions!B44,0)</f>
        <v/>
      </c>
      <c r="F66" s="18">
        <f>ROUND(Assumptions!B43*Assumptions!B44,0)</f>
        <v/>
      </c>
      <c r="G66" s="18">
        <f>ROUND(Assumptions!B43*Assumptions!B44,0)</f>
        <v/>
      </c>
      <c r="H66" s="18">
        <f>ROUND(Assumptions!B43*Assumptions!B44,0)</f>
        <v/>
      </c>
      <c r="I66" s="18">
        <f>ROUND(Assumptions!B43*Assumptions!B44,0)</f>
        <v/>
      </c>
      <c r="J66" s="18">
        <f>ROUND(Assumptions!B43*Assumptions!B44,0)</f>
        <v/>
      </c>
      <c r="K66" s="18">
        <f>ROUND(Assumptions!B43*Assumptions!B44,0)</f>
        <v/>
      </c>
      <c r="L66" s="18">
        <f>ROUND(Assumptions!B43*Assumptions!B44,0)</f>
        <v/>
      </c>
      <c r="M66" s="18">
        <f>ROUND(Assumptions!B43*Assumptions!B44,0)</f>
        <v/>
      </c>
      <c r="N66" s="18">
        <f>ROUND(Assumptions!B43*Assumptions!B44,0)</f>
        <v/>
      </c>
      <c r="O66" s="18">
        <f>ROUND(Assumptions!B43*Assumptions!B44,0)</f>
        <v/>
      </c>
      <c r="P66" s="18">
        <f>ROUND(Assumptions!B43*Assumptions!B44,0)</f>
        <v/>
      </c>
      <c r="Q66" s="18">
        <f>ROUND(Assumptions!B43*Assumptions!B44,0)</f>
        <v/>
      </c>
      <c r="R66" s="18">
        <f>ROUND(Assumptions!B43*Assumptions!B44,0)</f>
        <v/>
      </c>
      <c r="S66" s="18">
        <f>ROUND(Assumptions!B43*Assumptions!B44,0)</f>
        <v/>
      </c>
      <c r="T66" s="18">
        <f>ROUND(Assumptions!B43*Assumptions!B44,0)</f>
        <v/>
      </c>
      <c r="U66" s="18">
        <f>ROUND(Assumptions!B43*Assumptions!B44,0)</f>
        <v/>
      </c>
      <c r="V66" s="18">
        <f>ROUND(Assumptions!B43*Assumptions!B44,0)</f>
        <v/>
      </c>
      <c r="W66" s="18">
        <f>ROUND(Assumptions!B43*Assumptions!B44,0)</f>
        <v/>
      </c>
      <c r="X66" s="18">
        <f>ROUND(Assumptions!B43*Assumptions!B44,0)</f>
        <v/>
      </c>
      <c r="Y66" s="18">
        <f>ROUND(Assumptions!B43*Assumptions!B44,0)</f>
        <v/>
      </c>
      <c r="Z66" s="18">
        <f>SUM(B66:Y66)</f>
        <v/>
      </c>
    </row>
    <row r="67">
      <c r="A67" s="17" t="inlineStr">
        <is>
          <t xml:space="preserve">    Daria (COO)</t>
        </is>
      </c>
      <c r="B67" s="18">
        <f>ROUND(Assumptions!B43*Assumptions!B44,0)</f>
        <v/>
      </c>
      <c r="C67" s="18">
        <f>ROUND(Assumptions!B43*Assumptions!B44,0)</f>
        <v/>
      </c>
      <c r="D67" s="18">
        <f>ROUND(Assumptions!B43*Assumptions!B44,0)</f>
        <v/>
      </c>
      <c r="E67" s="18">
        <f>ROUND(Assumptions!B43*Assumptions!B44,0)</f>
        <v/>
      </c>
      <c r="F67" s="18">
        <f>ROUND(Assumptions!B43*Assumptions!B44,0)</f>
        <v/>
      </c>
      <c r="G67" s="18">
        <f>ROUND(Assumptions!B43*Assumptions!B44,0)</f>
        <v/>
      </c>
      <c r="H67" s="18">
        <f>ROUND(Assumptions!B43*Assumptions!B44,0)</f>
        <v/>
      </c>
      <c r="I67" s="18">
        <f>ROUND(Assumptions!B43*Assumptions!B44,0)</f>
        <v/>
      </c>
      <c r="J67" s="18">
        <f>ROUND(Assumptions!B43*Assumptions!B44,0)</f>
        <v/>
      </c>
      <c r="K67" s="18">
        <f>ROUND(Assumptions!B43*Assumptions!B44,0)</f>
        <v/>
      </c>
      <c r="L67" s="18">
        <f>ROUND(Assumptions!B43*Assumptions!B44,0)</f>
        <v/>
      </c>
      <c r="M67" s="18">
        <f>ROUND(Assumptions!B43*Assumptions!B44,0)</f>
        <v/>
      </c>
      <c r="N67" s="18">
        <f>ROUND(Assumptions!B43*Assumptions!B44,0)</f>
        <v/>
      </c>
      <c r="O67" s="18">
        <f>ROUND(Assumptions!B43*Assumptions!B44,0)</f>
        <v/>
      </c>
      <c r="P67" s="18">
        <f>ROUND(Assumptions!B43*Assumptions!B44,0)</f>
        <v/>
      </c>
      <c r="Q67" s="18">
        <f>ROUND(Assumptions!B43*Assumptions!B44,0)</f>
        <v/>
      </c>
      <c r="R67" s="18">
        <f>ROUND(Assumptions!B43*Assumptions!B44,0)</f>
        <v/>
      </c>
      <c r="S67" s="18">
        <f>ROUND(Assumptions!B43*Assumptions!B44,0)</f>
        <v/>
      </c>
      <c r="T67" s="18">
        <f>ROUND(Assumptions!B43*Assumptions!B44,0)</f>
        <v/>
      </c>
      <c r="U67" s="18">
        <f>ROUND(Assumptions!B43*Assumptions!B44,0)</f>
        <v/>
      </c>
      <c r="V67" s="18">
        <f>ROUND(Assumptions!B43*Assumptions!B44,0)</f>
        <v/>
      </c>
      <c r="W67" s="18">
        <f>ROUND(Assumptions!B43*Assumptions!B44,0)</f>
        <v/>
      </c>
      <c r="X67" s="18">
        <f>ROUND(Assumptions!B43*Assumptions!B44,0)</f>
        <v/>
      </c>
      <c r="Y67" s="18">
        <f>ROUND(Assumptions!B43*Assumptions!B44,0)</f>
        <v/>
      </c>
      <c r="Z67" s="18">
        <f>SUM(B67:Y67)</f>
        <v/>
      </c>
    </row>
    <row r="68">
      <c r="A68" s="17" t="inlineStr">
        <is>
          <t xml:space="preserve">    Space Staff (M4+)</t>
        </is>
      </c>
      <c r="B68" s="18">
        <f>IF(1&gt;=4,ROUND(Assumptions!B45*Assumptions!B44,0),0)</f>
        <v/>
      </c>
      <c r="C68" s="18">
        <f>IF(2&gt;=4,ROUND(Assumptions!B45*Assumptions!B44,0),0)</f>
        <v/>
      </c>
      <c r="D68" s="18">
        <f>IF(3&gt;=4,ROUND(Assumptions!B45*Assumptions!B44,0),0)</f>
        <v/>
      </c>
      <c r="E68" s="18">
        <f>IF(4&gt;=4,ROUND(Assumptions!B45*Assumptions!B44,0),0)</f>
        <v/>
      </c>
      <c r="F68" s="18">
        <f>IF(5&gt;=4,ROUND(Assumptions!B45*Assumptions!B44,0),0)</f>
        <v/>
      </c>
      <c r="G68" s="18">
        <f>IF(6&gt;=4,ROUND(Assumptions!B45*Assumptions!B44,0),0)</f>
        <v/>
      </c>
      <c r="H68" s="18">
        <f>IF(7&gt;=4,ROUND(Assumptions!B45*Assumptions!B44,0),0)</f>
        <v/>
      </c>
      <c r="I68" s="18">
        <f>IF(8&gt;=4,ROUND(Assumptions!B45*Assumptions!B44,0),0)</f>
        <v/>
      </c>
      <c r="J68" s="18">
        <f>IF(9&gt;=4,ROUND(Assumptions!B45*Assumptions!B44,0),0)</f>
        <v/>
      </c>
      <c r="K68" s="18">
        <f>IF(10&gt;=4,ROUND(Assumptions!B45*Assumptions!B44,0),0)</f>
        <v/>
      </c>
      <c r="L68" s="18">
        <f>IF(11&gt;=4,ROUND(Assumptions!B45*Assumptions!B44,0),0)</f>
        <v/>
      </c>
      <c r="M68" s="18">
        <f>IF(12&gt;=4,ROUND(Assumptions!B45*Assumptions!B44,0),0)</f>
        <v/>
      </c>
      <c r="N68" s="18">
        <f>IF(13&gt;=4,ROUND(Assumptions!B45*Assumptions!B44,0),0)</f>
        <v/>
      </c>
      <c r="O68" s="18">
        <f>IF(14&gt;=4,ROUND(Assumptions!B45*Assumptions!B44,0),0)</f>
        <v/>
      </c>
      <c r="P68" s="18">
        <f>IF(15&gt;=4,ROUND(Assumptions!B45*Assumptions!B44,0),0)</f>
        <v/>
      </c>
      <c r="Q68" s="18">
        <f>IF(16&gt;=4,ROUND(Assumptions!B45*Assumptions!B44,0),0)</f>
        <v/>
      </c>
      <c r="R68" s="18">
        <f>IF(17&gt;=4,ROUND(Assumptions!B45*Assumptions!B44,0),0)</f>
        <v/>
      </c>
      <c r="S68" s="18">
        <f>IF(18&gt;=4,ROUND(Assumptions!B45*Assumptions!B44,0),0)</f>
        <v/>
      </c>
      <c r="T68" s="18">
        <f>IF(19&gt;=4,ROUND(Assumptions!B45*Assumptions!B44,0),0)</f>
        <v/>
      </c>
      <c r="U68" s="18">
        <f>IF(20&gt;=4,ROUND(Assumptions!B45*Assumptions!B44,0),0)</f>
        <v/>
      </c>
      <c r="V68" s="18">
        <f>IF(21&gt;=4,ROUND(Assumptions!B45*Assumptions!B44,0),0)</f>
        <v/>
      </c>
      <c r="W68" s="18">
        <f>IF(22&gt;=4,ROUND(Assumptions!B45*Assumptions!B44,0),0)</f>
        <v/>
      </c>
      <c r="X68" s="18">
        <f>IF(23&gt;=4,ROUND(Assumptions!B45*Assumptions!B44,0),0)</f>
        <v/>
      </c>
      <c r="Y68" s="18">
        <f>IF(24&gt;=4,ROUND(Assumptions!B45*Assumptions!B44,0),0)</f>
        <v/>
      </c>
      <c r="Z68" s="18">
        <f>SUM(B68:Y68)</f>
        <v/>
      </c>
    </row>
    <row r="69">
      <c r="A69" s="17" t="inlineStr">
        <is>
          <t xml:space="preserve">    Partner Mgr (M6+)</t>
        </is>
      </c>
      <c r="B69" s="18">
        <f>IF(1&gt;=6,ROUND(Assumptions!B46*Assumptions!B44,0),0)</f>
        <v/>
      </c>
      <c r="C69" s="18">
        <f>IF(2&gt;=6,ROUND(Assumptions!B46*Assumptions!B44,0),0)</f>
        <v/>
      </c>
      <c r="D69" s="18">
        <f>IF(3&gt;=6,ROUND(Assumptions!B46*Assumptions!B44,0),0)</f>
        <v/>
      </c>
      <c r="E69" s="18">
        <f>IF(4&gt;=6,ROUND(Assumptions!B46*Assumptions!B44,0),0)</f>
        <v/>
      </c>
      <c r="F69" s="18">
        <f>IF(5&gt;=6,ROUND(Assumptions!B46*Assumptions!B44,0),0)</f>
        <v/>
      </c>
      <c r="G69" s="18">
        <f>IF(6&gt;=6,ROUND(Assumptions!B46*Assumptions!B44,0),0)</f>
        <v/>
      </c>
      <c r="H69" s="18">
        <f>IF(7&gt;=6,ROUND(Assumptions!B46*Assumptions!B44,0),0)</f>
        <v/>
      </c>
      <c r="I69" s="18">
        <f>IF(8&gt;=6,ROUND(Assumptions!B46*Assumptions!B44,0),0)</f>
        <v/>
      </c>
      <c r="J69" s="18">
        <f>IF(9&gt;=6,ROUND(Assumptions!B46*Assumptions!B44,0),0)</f>
        <v/>
      </c>
      <c r="K69" s="18">
        <f>IF(10&gt;=6,ROUND(Assumptions!B46*Assumptions!B44,0),0)</f>
        <v/>
      </c>
      <c r="L69" s="18">
        <f>IF(11&gt;=6,ROUND(Assumptions!B46*Assumptions!B44,0),0)</f>
        <v/>
      </c>
      <c r="M69" s="18">
        <f>IF(12&gt;=6,ROUND(Assumptions!B46*Assumptions!B44,0),0)</f>
        <v/>
      </c>
      <c r="N69" s="18">
        <f>IF(13&gt;=6,ROUND(Assumptions!B46*Assumptions!B44,0),0)</f>
        <v/>
      </c>
      <c r="O69" s="18">
        <f>IF(14&gt;=6,ROUND(Assumptions!B46*Assumptions!B44,0),0)</f>
        <v/>
      </c>
      <c r="P69" s="18">
        <f>IF(15&gt;=6,ROUND(Assumptions!B46*Assumptions!B44,0),0)</f>
        <v/>
      </c>
      <c r="Q69" s="18">
        <f>IF(16&gt;=6,ROUND(Assumptions!B46*Assumptions!B44,0),0)</f>
        <v/>
      </c>
      <c r="R69" s="18">
        <f>IF(17&gt;=6,ROUND(Assumptions!B46*Assumptions!B44,0),0)</f>
        <v/>
      </c>
      <c r="S69" s="18">
        <f>IF(18&gt;=6,ROUND(Assumptions!B46*Assumptions!B44,0),0)</f>
        <v/>
      </c>
      <c r="T69" s="18">
        <f>IF(19&gt;=6,ROUND(Assumptions!B46*Assumptions!B44,0),0)</f>
        <v/>
      </c>
      <c r="U69" s="18">
        <f>IF(20&gt;=6,ROUND(Assumptions!B46*Assumptions!B44,0),0)</f>
        <v/>
      </c>
      <c r="V69" s="18">
        <f>IF(21&gt;=6,ROUND(Assumptions!B46*Assumptions!B44,0),0)</f>
        <v/>
      </c>
      <c r="W69" s="18">
        <f>IF(22&gt;=6,ROUND(Assumptions!B46*Assumptions!B44,0),0)</f>
        <v/>
      </c>
      <c r="X69" s="18">
        <f>IF(23&gt;=6,ROUND(Assumptions!B46*Assumptions!B44,0),0)</f>
        <v/>
      </c>
      <c r="Y69" s="18">
        <f>IF(24&gt;=6,ROUND(Assumptions!B46*Assumptions!B44,0),0)</f>
        <v/>
      </c>
      <c r="Z69" s="18">
        <f>SUM(B69:Y69)</f>
        <v/>
      </c>
    </row>
    <row r="70">
      <c r="A70" s="17" t="inlineStr">
        <is>
          <t xml:space="preserve">    Growth Marketer (M12+)</t>
        </is>
      </c>
      <c r="B70" s="18">
        <f>IF(1&gt;=12,ROUND(Assumptions!B47*Assumptions!B44,0),0)</f>
        <v/>
      </c>
      <c r="C70" s="18">
        <f>IF(2&gt;=12,ROUND(Assumptions!B47*Assumptions!B44,0),0)</f>
        <v/>
      </c>
      <c r="D70" s="18">
        <f>IF(3&gt;=12,ROUND(Assumptions!B47*Assumptions!B44,0),0)</f>
        <v/>
      </c>
      <c r="E70" s="18">
        <f>IF(4&gt;=12,ROUND(Assumptions!B47*Assumptions!B44,0),0)</f>
        <v/>
      </c>
      <c r="F70" s="18">
        <f>IF(5&gt;=12,ROUND(Assumptions!B47*Assumptions!B44,0),0)</f>
        <v/>
      </c>
      <c r="G70" s="18">
        <f>IF(6&gt;=12,ROUND(Assumptions!B47*Assumptions!B44,0),0)</f>
        <v/>
      </c>
      <c r="H70" s="18">
        <f>IF(7&gt;=12,ROUND(Assumptions!B47*Assumptions!B44,0),0)</f>
        <v/>
      </c>
      <c r="I70" s="18">
        <f>IF(8&gt;=12,ROUND(Assumptions!B47*Assumptions!B44,0),0)</f>
        <v/>
      </c>
      <c r="J70" s="18">
        <f>IF(9&gt;=12,ROUND(Assumptions!B47*Assumptions!B44,0),0)</f>
        <v/>
      </c>
      <c r="K70" s="18">
        <f>IF(10&gt;=12,ROUND(Assumptions!B47*Assumptions!B44,0),0)</f>
        <v/>
      </c>
      <c r="L70" s="18">
        <f>IF(11&gt;=12,ROUND(Assumptions!B47*Assumptions!B44,0),0)</f>
        <v/>
      </c>
      <c r="M70" s="18">
        <f>IF(12&gt;=12,ROUND(Assumptions!B47*Assumptions!B44,0),0)</f>
        <v/>
      </c>
      <c r="N70" s="18">
        <f>IF(13&gt;=12,ROUND(Assumptions!B47*Assumptions!B44,0),0)</f>
        <v/>
      </c>
      <c r="O70" s="18">
        <f>IF(14&gt;=12,ROUND(Assumptions!B47*Assumptions!B44,0),0)</f>
        <v/>
      </c>
      <c r="P70" s="18">
        <f>IF(15&gt;=12,ROUND(Assumptions!B47*Assumptions!B44,0),0)</f>
        <v/>
      </c>
      <c r="Q70" s="18">
        <f>IF(16&gt;=12,ROUND(Assumptions!B47*Assumptions!B44,0),0)</f>
        <v/>
      </c>
      <c r="R70" s="18">
        <f>IF(17&gt;=12,ROUND(Assumptions!B47*Assumptions!B44,0),0)</f>
        <v/>
      </c>
      <c r="S70" s="18">
        <f>IF(18&gt;=12,ROUND(Assumptions!B47*Assumptions!B44,0),0)</f>
        <v/>
      </c>
      <c r="T70" s="18">
        <f>IF(19&gt;=12,ROUND(Assumptions!B47*Assumptions!B44,0),0)</f>
        <v/>
      </c>
      <c r="U70" s="18">
        <f>IF(20&gt;=12,ROUND(Assumptions!B47*Assumptions!B44,0),0)</f>
        <v/>
      </c>
      <c r="V70" s="18">
        <f>IF(21&gt;=12,ROUND(Assumptions!B47*Assumptions!B44,0),0)</f>
        <v/>
      </c>
      <c r="W70" s="18">
        <f>IF(22&gt;=12,ROUND(Assumptions!B47*Assumptions!B44,0),0)</f>
        <v/>
      </c>
      <c r="X70" s="18">
        <f>IF(23&gt;=12,ROUND(Assumptions!B47*Assumptions!B44,0),0)</f>
        <v/>
      </c>
      <c r="Y70" s="18">
        <f>IF(24&gt;=12,ROUND(Assumptions!B47*Assumptions!B44,0),0)</f>
        <v/>
      </c>
      <c r="Z70" s="18">
        <f>SUM(B70:Y70)</f>
        <v/>
      </c>
    </row>
    <row r="71">
      <c r="A71" s="17" t="inlineStr">
        <is>
          <t xml:space="preserve">    Tech/Ops Lead (M18+)</t>
        </is>
      </c>
      <c r="B71" s="18">
        <f>IF(1&gt;=18,ROUND(Assumptions!B48*Assumptions!B44,0),0)</f>
        <v/>
      </c>
      <c r="C71" s="18">
        <f>IF(2&gt;=18,ROUND(Assumptions!B48*Assumptions!B44,0),0)</f>
        <v/>
      </c>
      <c r="D71" s="18">
        <f>IF(3&gt;=18,ROUND(Assumptions!B48*Assumptions!B44,0),0)</f>
        <v/>
      </c>
      <c r="E71" s="18">
        <f>IF(4&gt;=18,ROUND(Assumptions!B48*Assumptions!B44,0),0)</f>
        <v/>
      </c>
      <c r="F71" s="18">
        <f>IF(5&gt;=18,ROUND(Assumptions!B48*Assumptions!B44,0),0)</f>
        <v/>
      </c>
      <c r="G71" s="18">
        <f>IF(6&gt;=18,ROUND(Assumptions!B48*Assumptions!B44,0),0)</f>
        <v/>
      </c>
      <c r="H71" s="18">
        <f>IF(7&gt;=18,ROUND(Assumptions!B48*Assumptions!B44,0),0)</f>
        <v/>
      </c>
      <c r="I71" s="18">
        <f>IF(8&gt;=18,ROUND(Assumptions!B48*Assumptions!B44,0),0)</f>
        <v/>
      </c>
      <c r="J71" s="18">
        <f>IF(9&gt;=18,ROUND(Assumptions!B48*Assumptions!B44,0),0)</f>
        <v/>
      </c>
      <c r="K71" s="18">
        <f>IF(10&gt;=18,ROUND(Assumptions!B48*Assumptions!B44,0),0)</f>
        <v/>
      </c>
      <c r="L71" s="18">
        <f>IF(11&gt;=18,ROUND(Assumptions!B48*Assumptions!B44,0),0)</f>
        <v/>
      </c>
      <c r="M71" s="18">
        <f>IF(12&gt;=18,ROUND(Assumptions!B48*Assumptions!B44,0),0)</f>
        <v/>
      </c>
      <c r="N71" s="18">
        <f>IF(13&gt;=18,ROUND(Assumptions!B48*Assumptions!B44,0),0)</f>
        <v/>
      </c>
      <c r="O71" s="18">
        <f>IF(14&gt;=18,ROUND(Assumptions!B48*Assumptions!B44,0),0)</f>
        <v/>
      </c>
      <c r="P71" s="18">
        <f>IF(15&gt;=18,ROUND(Assumptions!B48*Assumptions!B44,0),0)</f>
        <v/>
      </c>
      <c r="Q71" s="18">
        <f>IF(16&gt;=18,ROUND(Assumptions!B48*Assumptions!B44,0),0)</f>
        <v/>
      </c>
      <c r="R71" s="18">
        <f>IF(17&gt;=18,ROUND(Assumptions!B48*Assumptions!B44,0),0)</f>
        <v/>
      </c>
      <c r="S71" s="18">
        <f>IF(18&gt;=18,ROUND(Assumptions!B48*Assumptions!B44,0),0)</f>
        <v/>
      </c>
      <c r="T71" s="18">
        <f>IF(19&gt;=18,ROUND(Assumptions!B48*Assumptions!B44,0),0)</f>
        <v/>
      </c>
      <c r="U71" s="18">
        <f>IF(20&gt;=18,ROUND(Assumptions!B48*Assumptions!B44,0),0)</f>
        <v/>
      </c>
      <c r="V71" s="18">
        <f>IF(21&gt;=18,ROUND(Assumptions!B48*Assumptions!B44,0),0)</f>
        <v/>
      </c>
      <c r="W71" s="18">
        <f>IF(22&gt;=18,ROUND(Assumptions!B48*Assumptions!B44,0),0)</f>
        <v/>
      </c>
      <c r="X71" s="18">
        <f>IF(23&gt;=18,ROUND(Assumptions!B48*Assumptions!B44,0),0)</f>
        <v/>
      </c>
      <c r="Y71" s="18">
        <f>IF(24&gt;=18,ROUND(Assumptions!B48*Assumptions!B44,0),0)</f>
        <v/>
      </c>
      <c r="Z71" s="18">
        <f>SUM(B71:Y71)</f>
        <v/>
      </c>
    </row>
    <row r="72">
      <c r="A72" s="17" t="inlineStr">
        <is>
          <t xml:space="preserve">    BG Insurance (1.5% payroll)</t>
        </is>
      </c>
      <c r="B72" s="18">
        <f>ROUND((B66+B67+B68+B69+B70+B71)*Assumptions!B49,0)</f>
        <v/>
      </c>
      <c r="C72" s="18">
        <f>ROUND((C66+C67+C68+C69+C70+C71)*Assumptions!B49,0)</f>
        <v/>
      </c>
      <c r="D72" s="18">
        <f>ROUND((D66+D67+D68+D69+D70+D71)*Assumptions!B49,0)</f>
        <v/>
      </c>
      <c r="E72" s="18">
        <f>ROUND((E66+E67+E68+E69+E70+E71)*Assumptions!B49,0)</f>
        <v/>
      </c>
      <c r="F72" s="18">
        <f>ROUND((F66+F67+F68+F69+F70+F71)*Assumptions!B49,0)</f>
        <v/>
      </c>
      <c r="G72" s="18">
        <f>ROUND((G66+G67+G68+G69+G70+G71)*Assumptions!B49,0)</f>
        <v/>
      </c>
      <c r="H72" s="18">
        <f>ROUND((H66+H67+H68+H69+H70+H71)*Assumptions!B49,0)</f>
        <v/>
      </c>
      <c r="I72" s="18">
        <f>ROUND((I66+I67+I68+I69+I70+I71)*Assumptions!B49,0)</f>
        <v/>
      </c>
      <c r="J72" s="18">
        <f>ROUND((J66+J67+J68+J69+J70+J71)*Assumptions!B49,0)</f>
        <v/>
      </c>
      <c r="K72" s="18">
        <f>ROUND((K66+K67+K68+K69+K70+K71)*Assumptions!B49,0)</f>
        <v/>
      </c>
      <c r="L72" s="18">
        <f>ROUND((L66+L67+L68+L69+L70+L71)*Assumptions!B49,0)</f>
        <v/>
      </c>
      <c r="M72" s="18">
        <f>ROUND((M66+M67+M68+M69+M70+M71)*Assumptions!B49,0)</f>
        <v/>
      </c>
      <c r="N72" s="18">
        <f>ROUND((N66+N67+N68+N69+N70+N71)*Assumptions!B49,0)</f>
        <v/>
      </c>
      <c r="O72" s="18">
        <f>ROUND((O66+O67+O68+O69+O70+O71)*Assumptions!B49,0)</f>
        <v/>
      </c>
      <c r="P72" s="18">
        <f>ROUND((P66+P67+P68+P69+P70+P71)*Assumptions!B49,0)</f>
        <v/>
      </c>
      <c r="Q72" s="18">
        <f>ROUND((Q66+Q67+Q68+Q69+Q70+Q71)*Assumptions!B49,0)</f>
        <v/>
      </c>
      <c r="R72" s="18">
        <f>ROUND((R66+R67+R68+R69+R70+R71)*Assumptions!B49,0)</f>
        <v/>
      </c>
      <c r="S72" s="18">
        <f>ROUND((S66+S67+S68+S69+S70+S71)*Assumptions!B49,0)</f>
        <v/>
      </c>
      <c r="T72" s="18">
        <f>ROUND((T66+T67+T68+T69+T70+T71)*Assumptions!B49,0)</f>
        <v/>
      </c>
      <c r="U72" s="18">
        <f>ROUND((U66+U67+U68+U69+U70+U71)*Assumptions!B49,0)</f>
        <v/>
      </c>
      <c r="V72" s="18">
        <f>ROUND((V66+V67+V68+V69+V70+V71)*Assumptions!B49,0)</f>
        <v/>
      </c>
      <c r="W72" s="18">
        <f>ROUND((W66+W67+W68+W69+W70+W71)*Assumptions!B49,0)</f>
        <v/>
      </c>
      <c r="X72" s="18">
        <f>ROUND((X66+X67+X68+X69+X70+X71)*Assumptions!B49,0)</f>
        <v/>
      </c>
      <c r="Y72" s="18">
        <f>ROUND((Y66+Y67+Y68+Y69+Y70+Y71)*Assumptions!B49,0)</f>
        <v/>
      </c>
      <c r="Z72" s="18">
        <f>SUM(B72:Y72)</f>
        <v/>
      </c>
    </row>
    <row r="73">
      <c r="A73" s="19" t="inlineStr">
        <is>
          <t xml:space="preserve">    Payroll Total</t>
        </is>
      </c>
      <c r="B73" s="20">
        <f>B66+B67+B68+B69+B70+B71+B72</f>
        <v/>
      </c>
      <c r="C73" s="20">
        <f>C66+C67+C68+C69+C70+C71+C72</f>
        <v/>
      </c>
      <c r="D73" s="20">
        <f>D66+D67+D68+D69+D70+D71+D72</f>
        <v/>
      </c>
      <c r="E73" s="20">
        <f>E66+E67+E68+E69+E70+E71+E72</f>
        <v/>
      </c>
      <c r="F73" s="20">
        <f>F66+F67+F68+F69+F70+F71+F72</f>
        <v/>
      </c>
      <c r="G73" s="20">
        <f>G66+G67+G68+G69+G70+G71+G72</f>
        <v/>
      </c>
      <c r="H73" s="20">
        <f>H66+H67+H68+H69+H70+H71+H72</f>
        <v/>
      </c>
      <c r="I73" s="20">
        <f>I66+I67+I68+I69+I70+I71+I72</f>
        <v/>
      </c>
      <c r="J73" s="20">
        <f>J66+J67+J68+J69+J70+J71+J72</f>
        <v/>
      </c>
      <c r="K73" s="20">
        <f>K66+K67+K68+K69+K70+K71+K72</f>
        <v/>
      </c>
      <c r="L73" s="20">
        <f>L66+L67+L68+L69+L70+L71+L72</f>
        <v/>
      </c>
      <c r="M73" s="20">
        <f>M66+M67+M68+M69+M70+M71+M72</f>
        <v/>
      </c>
      <c r="N73" s="20">
        <f>N66+N67+N68+N69+N70+N71+N72</f>
        <v/>
      </c>
      <c r="O73" s="20">
        <f>O66+O67+O68+O69+O70+O71+O72</f>
        <v/>
      </c>
      <c r="P73" s="20">
        <f>P66+P67+P68+P69+P70+P71+P72</f>
        <v/>
      </c>
      <c r="Q73" s="20">
        <f>Q66+Q67+Q68+Q69+Q70+Q71+Q72</f>
        <v/>
      </c>
      <c r="R73" s="20">
        <f>R66+R67+R68+R69+R70+R71+R72</f>
        <v/>
      </c>
      <c r="S73" s="20">
        <f>S66+S67+S68+S69+S70+S71+S72</f>
        <v/>
      </c>
      <c r="T73" s="20">
        <f>T66+T67+T68+T69+T70+T71+T72</f>
        <v/>
      </c>
      <c r="U73" s="20">
        <f>U66+U67+U68+U69+U70+U71+U72</f>
        <v/>
      </c>
      <c r="V73" s="20">
        <f>V66+V67+V68+V69+V70+V71+V72</f>
        <v/>
      </c>
      <c r="W73" s="20">
        <f>W66+W67+W68+W69+W70+W71+W72</f>
        <v/>
      </c>
      <c r="X73" s="20">
        <f>X66+X67+X68+X69+X70+X71+X72</f>
        <v/>
      </c>
      <c r="Y73" s="20">
        <f>Y66+Y67+Y68+Y69+Y70+Y71+Y72</f>
        <v/>
      </c>
      <c r="Z73" s="20">
        <f>SUM(B73:Y73)</f>
        <v/>
      </c>
    </row>
    <row r="74">
      <c r="A74" s="9" t="inlineStr">
        <is>
          <t xml:space="preserve">  R&amp;D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17" t="inlineStr">
        <is>
          <t xml:space="preserve">    App Maintenance</t>
        </is>
      </c>
      <c r="B75" s="18">
        <f>Assumptions!B52</f>
        <v/>
      </c>
      <c r="C75" s="18">
        <f>Assumptions!B52</f>
        <v/>
      </c>
      <c r="D75" s="18">
        <f>Assumptions!B52</f>
        <v/>
      </c>
      <c r="E75" s="18">
        <f>Assumptions!B52</f>
        <v/>
      </c>
      <c r="F75" s="18">
        <f>Assumptions!B52</f>
        <v/>
      </c>
      <c r="G75" s="18">
        <f>Assumptions!B52</f>
        <v/>
      </c>
      <c r="H75" s="18">
        <f>Assumptions!B52</f>
        <v/>
      </c>
      <c r="I75" s="18">
        <f>Assumptions!B52</f>
        <v/>
      </c>
      <c r="J75" s="18">
        <f>Assumptions!B52</f>
        <v/>
      </c>
      <c r="K75" s="18">
        <f>Assumptions!B52</f>
        <v/>
      </c>
      <c r="L75" s="18">
        <f>Assumptions!B52</f>
        <v/>
      </c>
      <c r="M75" s="18">
        <f>Assumptions!B52</f>
        <v/>
      </c>
      <c r="N75" s="18">
        <f>Assumptions!B52</f>
        <v/>
      </c>
      <c r="O75" s="18">
        <f>Assumptions!B52</f>
        <v/>
      </c>
      <c r="P75" s="18">
        <f>Assumptions!B52</f>
        <v/>
      </c>
      <c r="Q75" s="18">
        <f>Assumptions!B52</f>
        <v/>
      </c>
      <c r="R75" s="18">
        <f>Assumptions!B52</f>
        <v/>
      </c>
      <c r="S75" s="18">
        <f>Assumptions!B52</f>
        <v/>
      </c>
      <c r="T75" s="18">
        <f>Assumptions!B52</f>
        <v/>
      </c>
      <c r="U75" s="18">
        <f>Assumptions!B52</f>
        <v/>
      </c>
      <c r="V75" s="18">
        <f>Assumptions!B52</f>
        <v/>
      </c>
      <c r="W75" s="18">
        <f>Assumptions!B52</f>
        <v/>
      </c>
      <c r="X75" s="18">
        <f>Assumptions!B52</f>
        <v/>
      </c>
      <c r="Y75" s="18">
        <f>Assumptions!B52</f>
        <v/>
      </c>
      <c r="Z75" s="18">
        <f>SUM(B75:Y75)</f>
        <v/>
      </c>
    </row>
    <row r="76">
      <c r="A76" s="17" t="inlineStr">
        <is>
          <t xml:space="preserve">    UX/UI Design</t>
        </is>
      </c>
      <c r="B76" s="18">
        <f>Assumptions!B53</f>
        <v/>
      </c>
      <c r="C76" s="18">
        <f>Assumptions!B53</f>
        <v/>
      </c>
      <c r="D76" s="18">
        <f>Assumptions!B53</f>
        <v/>
      </c>
      <c r="E76" s="18">
        <f>Assumptions!B53</f>
        <v/>
      </c>
      <c r="F76" s="18">
        <f>Assumptions!B53</f>
        <v/>
      </c>
      <c r="G76" s="18">
        <f>Assumptions!B53</f>
        <v/>
      </c>
      <c r="H76" s="18">
        <f>Assumptions!B53</f>
        <v/>
      </c>
      <c r="I76" s="18">
        <f>Assumptions!B53</f>
        <v/>
      </c>
      <c r="J76" s="18">
        <f>Assumptions!B53</f>
        <v/>
      </c>
      <c r="K76" s="18">
        <f>Assumptions!B53</f>
        <v/>
      </c>
      <c r="L76" s="18">
        <f>Assumptions!B53</f>
        <v/>
      </c>
      <c r="M76" s="18">
        <f>Assumptions!B53</f>
        <v/>
      </c>
      <c r="N76" s="18">
        <f>Assumptions!B53</f>
        <v/>
      </c>
      <c r="O76" s="18">
        <f>Assumptions!B53</f>
        <v/>
      </c>
      <c r="P76" s="18">
        <f>Assumptions!B53</f>
        <v/>
      </c>
      <c r="Q76" s="18">
        <f>Assumptions!B53</f>
        <v/>
      </c>
      <c r="R76" s="18">
        <f>Assumptions!B53</f>
        <v/>
      </c>
      <c r="S76" s="18">
        <f>Assumptions!B53</f>
        <v/>
      </c>
      <c r="T76" s="18">
        <f>Assumptions!B53</f>
        <v/>
      </c>
      <c r="U76" s="18">
        <f>Assumptions!B53</f>
        <v/>
      </c>
      <c r="V76" s="18">
        <f>Assumptions!B53</f>
        <v/>
      </c>
      <c r="W76" s="18">
        <f>Assumptions!B53</f>
        <v/>
      </c>
      <c r="X76" s="18">
        <f>Assumptions!B53</f>
        <v/>
      </c>
      <c r="Y76" s="18">
        <f>Assumptions!B53</f>
        <v/>
      </c>
      <c r="Z76" s="18">
        <f>SUM(B76:Y76)</f>
        <v/>
      </c>
    </row>
    <row r="77">
      <c r="A77" s="19" t="inlineStr">
        <is>
          <t xml:space="preserve">    R&amp;D Total</t>
        </is>
      </c>
      <c r="B77" s="20">
        <f>B75+B76</f>
        <v/>
      </c>
      <c r="C77" s="20">
        <f>C75+C76</f>
        <v/>
      </c>
      <c r="D77" s="20">
        <f>D75+D76</f>
        <v/>
      </c>
      <c r="E77" s="20">
        <f>E75+E76</f>
        <v/>
      </c>
      <c r="F77" s="20">
        <f>F75+F76</f>
        <v/>
      </c>
      <c r="G77" s="20">
        <f>G75+G76</f>
        <v/>
      </c>
      <c r="H77" s="20">
        <f>H75+H76</f>
        <v/>
      </c>
      <c r="I77" s="20">
        <f>I75+I76</f>
        <v/>
      </c>
      <c r="J77" s="20">
        <f>J75+J76</f>
        <v/>
      </c>
      <c r="K77" s="20">
        <f>K75+K76</f>
        <v/>
      </c>
      <c r="L77" s="20">
        <f>L75+L76</f>
        <v/>
      </c>
      <c r="M77" s="20">
        <f>M75+M76</f>
        <v/>
      </c>
      <c r="N77" s="20">
        <f>N75+N76</f>
        <v/>
      </c>
      <c r="O77" s="20">
        <f>O75+O76</f>
        <v/>
      </c>
      <c r="P77" s="20">
        <f>P75+P76</f>
        <v/>
      </c>
      <c r="Q77" s="20">
        <f>Q75+Q76</f>
        <v/>
      </c>
      <c r="R77" s="20">
        <f>R75+R76</f>
        <v/>
      </c>
      <c r="S77" s="20">
        <f>S75+S76</f>
        <v/>
      </c>
      <c r="T77" s="20">
        <f>T75+T76</f>
        <v/>
      </c>
      <c r="U77" s="20">
        <f>U75+U76</f>
        <v/>
      </c>
      <c r="V77" s="20">
        <f>V75+V76</f>
        <v/>
      </c>
      <c r="W77" s="20">
        <f>W75+W76</f>
        <v/>
      </c>
      <c r="X77" s="20">
        <f>X75+X76</f>
        <v/>
      </c>
      <c r="Y77" s="20">
        <f>Y75+Y76</f>
        <v/>
      </c>
      <c r="Z77" s="20">
        <f>SUM(B77:Y77)</f>
        <v/>
      </c>
    </row>
    <row r="78">
      <c r="A78" s="9" t="inlineStr">
        <is>
          <t xml:space="preserve">  Sales &amp; Marketing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>
      <c r="A79" s="17" t="inlineStr">
        <is>
          <t xml:space="preserve">    Paid Ads</t>
        </is>
      </c>
      <c r="B79" s="18">
        <f>'Growth Curves'!B10</f>
        <v/>
      </c>
      <c r="C79" s="18">
        <f>'Growth Curves'!C10</f>
        <v/>
      </c>
      <c r="D79" s="18">
        <f>'Growth Curves'!D10</f>
        <v/>
      </c>
      <c r="E79" s="18">
        <f>'Growth Curves'!E10</f>
        <v/>
      </c>
      <c r="F79" s="18">
        <f>'Growth Curves'!F10</f>
        <v/>
      </c>
      <c r="G79" s="18">
        <f>'Growth Curves'!G10</f>
        <v/>
      </c>
      <c r="H79" s="18">
        <f>'Growth Curves'!H10</f>
        <v/>
      </c>
      <c r="I79" s="18">
        <f>'Growth Curves'!I10</f>
        <v/>
      </c>
      <c r="J79" s="18">
        <f>'Growth Curves'!J10</f>
        <v/>
      </c>
      <c r="K79" s="18">
        <f>'Growth Curves'!K10</f>
        <v/>
      </c>
      <c r="L79" s="18">
        <f>'Growth Curves'!L10</f>
        <v/>
      </c>
      <c r="M79" s="18">
        <f>'Growth Curves'!M10</f>
        <v/>
      </c>
      <c r="N79" s="18">
        <f>'Growth Curves'!N10</f>
        <v/>
      </c>
      <c r="O79" s="18">
        <f>'Growth Curves'!O10</f>
        <v/>
      </c>
      <c r="P79" s="18">
        <f>'Growth Curves'!P10</f>
        <v/>
      </c>
      <c r="Q79" s="18">
        <f>'Growth Curves'!Q10</f>
        <v/>
      </c>
      <c r="R79" s="18">
        <f>'Growth Curves'!R10</f>
        <v/>
      </c>
      <c r="S79" s="18">
        <f>'Growth Curves'!S10</f>
        <v/>
      </c>
      <c r="T79" s="18">
        <f>'Growth Curves'!T10</f>
        <v/>
      </c>
      <c r="U79" s="18">
        <f>'Growth Curves'!U10</f>
        <v/>
      </c>
      <c r="V79" s="18">
        <f>'Growth Curves'!V10</f>
        <v/>
      </c>
      <c r="W79" s="18">
        <f>'Growth Curves'!W10</f>
        <v/>
      </c>
      <c r="X79" s="18">
        <f>'Growth Curves'!X10</f>
        <v/>
      </c>
      <c r="Y79" s="18">
        <f>'Growth Curves'!Y10</f>
        <v/>
      </c>
      <c r="Z79" s="18">
        <f>SUM(B79:Y79)</f>
        <v/>
      </c>
    </row>
    <row r="80">
      <c r="A80" s="17" t="inlineStr">
        <is>
          <t xml:space="preserve">    Content Creation</t>
        </is>
      </c>
      <c r="B80" s="18">
        <f>Assumptions!B66</f>
        <v/>
      </c>
      <c r="C80" s="18">
        <f>Assumptions!B66</f>
        <v/>
      </c>
      <c r="D80" s="18">
        <f>Assumptions!B66</f>
        <v/>
      </c>
      <c r="E80" s="18">
        <f>Assumptions!B66</f>
        <v/>
      </c>
      <c r="F80" s="18">
        <f>Assumptions!B66</f>
        <v/>
      </c>
      <c r="G80" s="18">
        <f>Assumptions!B66</f>
        <v/>
      </c>
      <c r="H80" s="18">
        <f>Assumptions!B66</f>
        <v/>
      </c>
      <c r="I80" s="18">
        <f>Assumptions!B66</f>
        <v/>
      </c>
      <c r="J80" s="18">
        <f>Assumptions!B66</f>
        <v/>
      </c>
      <c r="K80" s="18">
        <f>Assumptions!B66</f>
        <v/>
      </c>
      <c r="L80" s="18">
        <f>Assumptions!B66</f>
        <v/>
      </c>
      <c r="M80" s="18">
        <f>Assumptions!B66</f>
        <v/>
      </c>
      <c r="N80" s="18">
        <f>Assumptions!B66</f>
        <v/>
      </c>
      <c r="O80" s="18">
        <f>Assumptions!B66</f>
        <v/>
      </c>
      <c r="P80" s="18">
        <f>Assumptions!B66</f>
        <v/>
      </c>
      <c r="Q80" s="18">
        <f>Assumptions!B66</f>
        <v/>
      </c>
      <c r="R80" s="18">
        <f>Assumptions!B66</f>
        <v/>
      </c>
      <c r="S80" s="18">
        <f>Assumptions!B66</f>
        <v/>
      </c>
      <c r="T80" s="18">
        <f>Assumptions!B66</f>
        <v/>
      </c>
      <c r="U80" s="18">
        <f>Assumptions!B66</f>
        <v/>
      </c>
      <c r="V80" s="18">
        <f>Assumptions!B66</f>
        <v/>
      </c>
      <c r="W80" s="18">
        <f>Assumptions!B66</f>
        <v/>
      </c>
      <c r="X80" s="18">
        <f>Assumptions!B66</f>
        <v/>
      </c>
      <c r="Y80" s="18">
        <f>Assumptions!B66</f>
        <v/>
      </c>
      <c r="Z80" s="18">
        <f>SUM(B80:Y80)</f>
        <v/>
      </c>
    </row>
    <row r="81">
      <c r="A81" s="17" t="inlineStr">
        <is>
          <t xml:space="preserve">    Influencer Seeding (M7+)</t>
        </is>
      </c>
      <c r="B81" s="18">
        <f>IF(1&gt;=7,Assumptions!B67,0)</f>
        <v/>
      </c>
      <c r="C81" s="18">
        <f>IF(2&gt;=7,Assumptions!B67,0)</f>
        <v/>
      </c>
      <c r="D81" s="18">
        <f>IF(3&gt;=7,Assumptions!B67,0)</f>
        <v/>
      </c>
      <c r="E81" s="18">
        <f>IF(4&gt;=7,Assumptions!B67,0)</f>
        <v/>
      </c>
      <c r="F81" s="18">
        <f>IF(5&gt;=7,Assumptions!B67,0)</f>
        <v/>
      </c>
      <c r="G81" s="18">
        <f>IF(6&gt;=7,Assumptions!B67,0)</f>
        <v/>
      </c>
      <c r="H81" s="18">
        <f>IF(7&gt;=7,Assumptions!B67,0)</f>
        <v/>
      </c>
      <c r="I81" s="18">
        <f>IF(8&gt;=7,Assumptions!B67,0)</f>
        <v/>
      </c>
      <c r="J81" s="18">
        <f>IF(9&gt;=7,Assumptions!B67,0)</f>
        <v/>
      </c>
      <c r="K81" s="18">
        <f>IF(10&gt;=7,Assumptions!B67,0)</f>
        <v/>
      </c>
      <c r="L81" s="18">
        <f>IF(11&gt;=7,Assumptions!B67,0)</f>
        <v/>
      </c>
      <c r="M81" s="18">
        <f>IF(12&gt;=7,Assumptions!B67,0)</f>
        <v/>
      </c>
      <c r="N81" s="18">
        <f>IF(13&gt;=7,Assumptions!B67,0)</f>
        <v/>
      </c>
      <c r="O81" s="18">
        <f>IF(14&gt;=7,Assumptions!B67,0)</f>
        <v/>
      </c>
      <c r="P81" s="18">
        <f>IF(15&gt;=7,Assumptions!B67,0)</f>
        <v/>
      </c>
      <c r="Q81" s="18">
        <f>IF(16&gt;=7,Assumptions!B67,0)</f>
        <v/>
      </c>
      <c r="R81" s="18">
        <f>IF(17&gt;=7,Assumptions!B67,0)</f>
        <v/>
      </c>
      <c r="S81" s="18">
        <f>IF(18&gt;=7,Assumptions!B67,0)</f>
        <v/>
      </c>
      <c r="T81" s="18">
        <f>IF(19&gt;=7,Assumptions!B67,0)</f>
        <v/>
      </c>
      <c r="U81" s="18">
        <f>IF(20&gt;=7,Assumptions!B67,0)</f>
        <v/>
      </c>
      <c r="V81" s="18">
        <f>IF(21&gt;=7,Assumptions!B67,0)</f>
        <v/>
      </c>
      <c r="W81" s="18">
        <f>IF(22&gt;=7,Assumptions!B67,0)</f>
        <v/>
      </c>
      <c r="X81" s="18">
        <f>IF(23&gt;=7,Assumptions!B67,0)</f>
        <v/>
      </c>
      <c r="Y81" s="18">
        <f>IF(24&gt;=7,Assumptions!B67,0)</f>
        <v/>
      </c>
      <c r="Z81" s="18">
        <f>SUM(B81:Y81)</f>
        <v/>
      </c>
    </row>
    <row r="82">
      <c r="A82" s="19" t="inlineStr">
        <is>
          <t xml:space="preserve">    S&amp;M Total</t>
        </is>
      </c>
      <c r="B82" s="20">
        <f>B79+B80+B81</f>
        <v/>
      </c>
      <c r="C82" s="20">
        <f>C79+C80+C81</f>
        <v/>
      </c>
      <c r="D82" s="20">
        <f>D79+D80+D81</f>
        <v/>
      </c>
      <c r="E82" s="20">
        <f>E79+E80+E81</f>
        <v/>
      </c>
      <c r="F82" s="20">
        <f>F79+F80+F81</f>
        <v/>
      </c>
      <c r="G82" s="20">
        <f>G79+G80+G81</f>
        <v/>
      </c>
      <c r="H82" s="20">
        <f>H79+H80+H81</f>
        <v/>
      </c>
      <c r="I82" s="20">
        <f>I79+I80+I81</f>
        <v/>
      </c>
      <c r="J82" s="20">
        <f>J79+J80+J81</f>
        <v/>
      </c>
      <c r="K82" s="20">
        <f>K79+K80+K81</f>
        <v/>
      </c>
      <c r="L82" s="20">
        <f>L79+L80+L81</f>
        <v/>
      </c>
      <c r="M82" s="20">
        <f>M79+M80+M81</f>
        <v/>
      </c>
      <c r="N82" s="20">
        <f>N79+N80+N81</f>
        <v/>
      </c>
      <c r="O82" s="20">
        <f>O79+O80+O81</f>
        <v/>
      </c>
      <c r="P82" s="20">
        <f>P79+P80+P81</f>
        <v/>
      </c>
      <c r="Q82" s="20">
        <f>Q79+Q80+Q81</f>
        <v/>
      </c>
      <c r="R82" s="20">
        <f>R79+R80+R81</f>
        <v/>
      </c>
      <c r="S82" s="20">
        <f>S79+S80+S81</f>
        <v/>
      </c>
      <c r="T82" s="20">
        <f>T79+T80+T81</f>
        <v/>
      </c>
      <c r="U82" s="20">
        <f>U79+U80+U81</f>
        <v/>
      </c>
      <c r="V82" s="20">
        <f>V79+V80+V81</f>
        <v/>
      </c>
      <c r="W82" s="20">
        <f>W79+W80+W81</f>
        <v/>
      </c>
      <c r="X82" s="20">
        <f>X79+X80+X81</f>
        <v/>
      </c>
      <c r="Y82" s="20">
        <f>Y79+Y80+Y81</f>
        <v/>
      </c>
      <c r="Z82" s="20">
        <f>SUM(B82:Y82)</f>
        <v/>
      </c>
    </row>
    <row r="83">
      <c r="A83" s="9" t="inlineStr">
        <is>
          <t xml:space="preserve">  General &amp; Admin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17" t="inlineStr">
        <is>
          <t xml:space="preserve">    Rent (co-work M1-3 / space M4+)</t>
        </is>
      </c>
      <c r="B84" s="18">
        <f>IF(1&lt;=3,Assumptions!B58,Assumptions!B59)</f>
        <v/>
      </c>
      <c r="C84" s="18">
        <f>IF(2&lt;=3,Assumptions!B58,Assumptions!B59)</f>
        <v/>
      </c>
      <c r="D84" s="18">
        <f>IF(3&lt;=3,Assumptions!B58,Assumptions!B59)</f>
        <v/>
      </c>
      <c r="E84" s="18">
        <f>IF(4&lt;=3,Assumptions!B58,Assumptions!B59)</f>
        <v/>
      </c>
      <c r="F84" s="18">
        <f>IF(5&lt;=3,Assumptions!B58,Assumptions!B59)</f>
        <v/>
      </c>
      <c r="G84" s="18">
        <f>IF(6&lt;=3,Assumptions!B58,Assumptions!B59)</f>
        <v/>
      </c>
      <c r="H84" s="18">
        <f>IF(7&lt;=3,Assumptions!B58,Assumptions!B59)</f>
        <v/>
      </c>
      <c r="I84" s="18">
        <f>IF(8&lt;=3,Assumptions!B58,Assumptions!B59)</f>
        <v/>
      </c>
      <c r="J84" s="18">
        <f>IF(9&lt;=3,Assumptions!B58,Assumptions!B59)</f>
        <v/>
      </c>
      <c r="K84" s="18">
        <f>IF(10&lt;=3,Assumptions!B58,Assumptions!B59)</f>
        <v/>
      </c>
      <c r="L84" s="18">
        <f>IF(11&lt;=3,Assumptions!B58,Assumptions!B59)</f>
        <v/>
      </c>
      <c r="M84" s="18">
        <f>IF(12&lt;=3,Assumptions!B58,Assumptions!B59)</f>
        <v/>
      </c>
      <c r="N84" s="18">
        <f>IF(13&lt;=3,Assumptions!B58,Assumptions!B59)</f>
        <v/>
      </c>
      <c r="O84" s="18">
        <f>IF(14&lt;=3,Assumptions!B58,Assumptions!B59)</f>
        <v/>
      </c>
      <c r="P84" s="18">
        <f>IF(15&lt;=3,Assumptions!B58,Assumptions!B59)</f>
        <v/>
      </c>
      <c r="Q84" s="18">
        <f>IF(16&lt;=3,Assumptions!B58,Assumptions!B59)</f>
        <v/>
      </c>
      <c r="R84" s="18">
        <f>IF(17&lt;=3,Assumptions!B58,Assumptions!B59)</f>
        <v/>
      </c>
      <c r="S84" s="18">
        <f>IF(18&lt;=3,Assumptions!B58,Assumptions!B59)</f>
        <v/>
      </c>
      <c r="T84" s="18">
        <f>IF(19&lt;=3,Assumptions!B58,Assumptions!B59)</f>
        <v/>
      </c>
      <c r="U84" s="18">
        <f>IF(20&lt;=3,Assumptions!B58,Assumptions!B59)</f>
        <v/>
      </c>
      <c r="V84" s="18">
        <f>IF(21&lt;=3,Assumptions!B58,Assumptions!B59)</f>
        <v/>
      </c>
      <c r="W84" s="18">
        <f>IF(22&lt;=3,Assumptions!B58,Assumptions!B59)</f>
        <v/>
      </c>
      <c r="X84" s="18">
        <f>IF(23&lt;=3,Assumptions!B58,Assumptions!B59)</f>
        <v/>
      </c>
      <c r="Y84" s="18">
        <f>IF(24&lt;=3,Assumptions!B58,Assumptions!B59)</f>
        <v/>
      </c>
      <c r="Z84" s="18">
        <f>SUM(B84:Y84)</f>
        <v/>
      </c>
    </row>
    <row r="85">
      <c r="A85" s="17" t="inlineStr">
        <is>
          <t xml:space="preserve">    Steuerberater</t>
        </is>
      </c>
      <c r="B85" s="18">
        <f>Assumptions!B60</f>
        <v/>
      </c>
      <c r="C85" s="18">
        <f>Assumptions!B60</f>
        <v/>
      </c>
      <c r="D85" s="18">
        <f>Assumptions!B60</f>
        <v/>
      </c>
      <c r="E85" s="18">
        <f>Assumptions!B60</f>
        <v/>
      </c>
      <c r="F85" s="18">
        <f>Assumptions!B60</f>
        <v/>
      </c>
      <c r="G85" s="18">
        <f>Assumptions!B60</f>
        <v/>
      </c>
      <c r="H85" s="18">
        <f>Assumptions!B60</f>
        <v/>
      </c>
      <c r="I85" s="18">
        <f>Assumptions!B60</f>
        <v/>
      </c>
      <c r="J85" s="18">
        <f>Assumptions!B60</f>
        <v/>
      </c>
      <c r="K85" s="18">
        <f>Assumptions!B60</f>
        <v/>
      </c>
      <c r="L85" s="18">
        <f>Assumptions!B60</f>
        <v/>
      </c>
      <c r="M85" s="18">
        <f>Assumptions!B60</f>
        <v/>
      </c>
      <c r="N85" s="18">
        <f>Assumptions!B60</f>
        <v/>
      </c>
      <c r="O85" s="18">
        <f>Assumptions!B60</f>
        <v/>
      </c>
      <c r="P85" s="18">
        <f>Assumptions!B60</f>
        <v/>
      </c>
      <c r="Q85" s="18">
        <f>Assumptions!B60</f>
        <v/>
      </c>
      <c r="R85" s="18">
        <f>Assumptions!B60</f>
        <v/>
      </c>
      <c r="S85" s="18">
        <f>Assumptions!B60</f>
        <v/>
      </c>
      <c r="T85" s="18">
        <f>Assumptions!B60</f>
        <v/>
      </c>
      <c r="U85" s="18">
        <f>Assumptions!B60</f>
        <v/>
      </c>
      <c r="V85" s="18">
        <f>Assumptions!B60</f>
        <v/>
      </c>
      <c r="W85" s="18">
        <f>Assumptions!B60</f>
        <v/>
      </c>
      <c r="X85" s="18">
        <f>Assumptions!B60</f>
        <v/>
      </c>
      <c r="Y85" s="18">
        <f>Assumptions!B60</f>
        <v/>
      </c>
      <c r="Z85" s="18">
        <f>SUM(B85:Y85)</f>
        <v/>
      </c>
    </row>
    <row r="86">
      <c r="A86" s="17" t="inlineStr">
        <is>
          <t xml:space="preserve">    Business Insurance</t>
        </is>
      </c>
      <c r="B86" s="18">
        <f>Assumptions!B61</f>
        <v/>
      </c>
      <c r="C86" s="18">
        <f>Assumptions!B61</f>
        <v/>
      </c>
      <c r="D86" s="18">
        <f>Assumptions!B61</f>
        <v/>
      </c>
      <c r="E86" s="18">
        <f>Assumptions!B61</f>
        <v/>
      </c>
      <c r="F86" s="18">
        <f>Assumptions!B61</f>
        <v/>
      </c>
      <c r="G86" s="18">
        <f>Assumptions!B61</f>
        <v/>
      </c>
      <c r="H86" s="18">
        <f>Assumptions!B61</f>
        <v/>
      </c>
      <c r="I86" s="18">
        <f>Assumptions!B61</f>
        <v/>
      </c>
      <c r="J86" s="18">
        <f>Assumptions!B61</f>
        <v/>
      </c>
      <c r="K86" s="18">
        <f>Assumptions!B61</f>
        <v/>
      </c>
      <c r="L86" s="18">
        <f>Assumptions!B61</f>
        <v/>
      </c>
      <c r="M86" s="18">
        <f>Assumptions!B61</f>
        <v/>
      </c>
      <c r="N86" s="18">
        <f>Assumptions!B61</f>
        <v/>
      </c>
      <c r="O86" s="18">
        <f>Assumptions!B61</f>
        <v/>
      </c>
      <c r="P86" s="18">
        <f>Assumptions!B61</f>
        <v/>
      </c>
      <c r="Q86" s="18">
        <f>Assumptions!B61</f>
        <v/>
      </c>
      <c r="R86" s="18">
        <f>Assumptions!B61</f>
        <v/>
      </c>
      <c r="S86" s="18">
        <f>Assumptions!B61</f>
        <v/>
      </c>
      <c r="T86" s="18">
        <f>Assumptions!B61</f>
        <v/>
      </c>
      <c r="U86" s="18">
        <f>Assumptions!B61</f>
        <v/>
      </c>
      <c r="V86" s="18">
        <f>Assumptions!B61</f>
        <v/>
      </c>
      <c r="W86" s="18">
        <f>Assumptions!B61</f>
        <v/>
      </c>
      <c r="X86" s="18">
        <f>Assumptions!B61</f>
        <v/>
      </c>
      <c r="Y86" s="18">
        <f>Assumptions!B61</f>
        <v/>
      </c>
      <c r="Z86" s="18">
        <f>SUM(B86:Y86)</f>
        <v/>
      </c>
    </row>
    <row r="87">
      <c r="A87" s="17" t="inlineStr">
        <is>
          <t xml:space="preserve">    Utilities (M4+)</t>
        </is>
      </c>
      <c r="B87" s="18">
        <f>IF(1&gt;=4,Assumptions!B62,0)</f>
        <v/>
      </c>
      <c r="C87" s="18">
        <f>IF(2&gt;=4,Assumptions!B62,0)</f>
        <v/>
      </c>
      <c r="D87" s="18">
        <f>IF(3&gt;=4,Assumptions!B62,0)</f>
        <v/>
      </c>
      <c r="E87" s="18">
        <f>IF(4&gt;=4,Assumptions!B62,0)</f>
        <v/>
      </c>
      <c r="F87" s="18">
        <f>IF(5&gt;=4,Assumptions!B62,0)</f>
        <v/>
      </c>
      <c r="G87" s="18">
        <f>IF(6&gt;=4,Assumptions!B62,0)</f>
        <v/>
      </c>
      <c r="H87" s="18">
        <f>IF(7&gt;=4,Assumptions!B62,0)</f>
        <v/>
      </c>
      <c r="I87" s="18">
        <f>IF(8&gt;=4,Assumptions!B62,0)</f>
        <v/>
      </c>
      <c r="J87" s="18">
        <f>IF(9&gt;=4,Assumptions!B62,0)</f>
        <v/>
      </c>
      <c r="K87" s="18">
        <f>IF(10&gt;=4,Assumptions!B62,0)</f>
        <v/>
      </c>
      <c r="L87" s="18">
        <f>IF(11&gt;=4,Assumptions!B62,0)</f>
        <v/>
      </c>
      <c r="M87" s="18">
        <f>IF(12&gt;=4,Assumptions!B62,0)</f>
        <v/>
      </c>
      <c r="N87" s="18">
        <f>IF(13&gt;=4,Assumptions!B62,0)</f>
        <v/>
      </c>
      <c r="O87" s="18">
        <f>IF(14&gt;=4,Assumptions!B62,0)</f>
        <v/>
      </c>
      <c r="P87" s="18">
        <f>IF(15&gt;=4,Assumptions!B62,0)</f>
        <v/>
      </c>
      <c r="Q87" s="18">
        <f>IF(16&gt;=4,Assumptions!B62,0)</f>
        <v/>
      </c>
      <c r="R87" s="18">
        <f>IF(17&gt;=4,Assumptions!B62,0)</f>
        <v/>
      </c>
      <c r="S87" s="18">
        <f>IF(18&gt;=4,Assumptions!B62,0)</f>
        <v/>
      </c>
      <c r="T87" s="18">
        <f>IF(19&gt;=4,Assumptions!B62,0)</f>
        <v/>
      </c>
      <c r="U87" s="18">
        <f>IF(20&gt;=4,Assumptions!B62,0)</f>
        <v/>
      </c>
      <c r="V87" s="18">
        <f>IF(21&gt;=4,Assumptions!B62,0)</f>
        <v/>
      </c>
      <c r="W87" s="18">
        <f>IF(22&gt;=4,Assumptions!B62,0)</f>
        <v/>
      </c>
      <c r="X87" s="18">
        <f>IF(23&gt;=4,Assumptions!B62,0)</f>
        <v/>
      </c>
      <c r="Y87" s="18">
        <f>IF(24&gt;=4,Assumptions!B62,0)</f>
        <v/>
      </c>
      <c r="Z87" s="18">
        <f>SUM(B87:Y87)</f>
        <v/>
      </c>
    </row>
    <row r="88">
      <c r="A88" s="17" t="inlineStr">
        <is>
          <t xml:space="preserve">    Cleaning/Maintenance (M4+)</t>
        </is>
      </c>
      <c r="B88" s="18">
        <f>IF(1&gt;=4,Assumptions!B63,0)</f>
        <v/>
      </c>
      <c r="C88" s="18">
        <f>IF(2&gt;=4,Assumptions!B63,0)</f>
        <v/>
      </c>
      <c r="D88" s="18">
        <f>IF(3&gt;=4,Assumptions!B63,0)</f>
        <v/>
      </c>
      <c r="E88" s="18">
        <f>IF(4&gt;=4,Assumptions!B63,0)</f>
        <v/>
      </c>
      <c r="F88" s="18">
        <f>IF(5&gt;=4,Assumptions!B63,0)</f>
        <v/>
      </c>
      <c r="G88" s="18">
        <f>IF(6&gt;=4,Assumptions!B63,0)</f>
        <v/>
      </c>
      <c r="H88" s="18">
        <f>IF(7&gt;=4,Assumptions!B63,0)</f>
        <v/>
      </c>
      <c r="I88" s="18">
        <f>IF(8&gt;=4,Assumptions!B63,0)</f>
        <v/>
      </c>
      <c r="J88" s="18">
        <f>IF(9&gt;=4,Assumptions!B63,0)</f>
        <v/>
      </c>
      <c r="K88" s="18">
        <f>IF(10&gt;=4,Assumptions!B63,0)</f>
        <v/>
      </c>
      <c r="L88" s="18">
        <f>IF(11&gt;=4,Assumptions!B63,0)</f>
        <v/>
      </c>
      <c r="M88" s="18">
        <f>IF(12&gt;=4,Assumptions!B63,0)</f>
        <v/>
      </c>
      <c r="N88" s="18">
        <f>IF(13&gt;=4,Assumptions!B63,0)</f>
        <v/>
      </c>
      <c r="O88" s="18">
        <f>IF(14&gt;=4,Assumptions!B63,0)</f>
        <v/>
      </c>
      <c r="P88" s="18">
        <f>IF(15&gt;=4,Assumptions!B63,0)</f>
        <v/>
      </c>
      <c r="Q88" s="18">
        <f>IF(16&gt;=4,Assumptions!B63,0)</f>
        <v/>
      </c>
      <c r="R88" s="18">
        <f>IF(17&gt;=4,Assumptions!B63,0)</f>
        <v/>
      </c>
      <c r="S88" s="18">
        <f>IF(18&gt;=4,Assumptions!B63,0)</f>
        <v/>
      </c>
      <c r="T88" s="18">
        <f>IF(19&gt;=4,Assumptions!B63,0)</f>
        <v/>
      </c>
      <c r="U88" s="18">
        <f>IF(20&gt;=4,Assumptions!B63,0)</f>
        <v/>
      </c>
      <c r="V88" s="18">
        <f>IF(21&gt;=4,Assumptions!B63,0)</f>
        <v/>
      </c>
      <c r="W88" s="18">
        <f>IF(22&gt;=4,Assumptions!B63,0)</f>
        <v/>
      </c>
      <c r="X88" s="18">
        <f>IF(23&gt;=4,Assumptions!B63,0)</f>
        <v/>
      </c>
      <c r="Y88" s="18">
        <f>IF(24&gt;=4,Assumptions!B63,0)</f>
        <v/>
      </c>
      <c r="Z88" s="18">
        <f>SUM(B88:Y88)</f>
        <v/>
      </c>
    </row>
    <row r="89">
      <c r="A89" s="17" t="inlineStr">
        <is>
          <t xml:space="preserve">    POS System (M4+)</t>
        </is>
      </c>
      <c r="B89" s="18">
        <f>IF(1&gt;=4,Assumptions!B64,0)</f>
        <v/>
      </c>
      <c r="C89" s="18">
        <f>IF(2&gt;=4,Assumptions!B64,0)</f>
        <v/>
      </c>
      <c r="D89" s="18">
        <f>IF(3&gt;=4,Assumptions!B64,0)</f>
        <v/>
      </c>
      <c r="E89" s="18">
        <f>IF(4&gt;=4,Assumptions!B64,0)</f>
        <v/>
      </c>
      <c r="F89" s="18">
        <f>IF(5&gt;=4,Assumptions!B64,0)</f>
        <v/>
      </c>
      <c r="G89" s="18">
        <f>IF(6&gt;=4,Assumptions!B64,0)</f>
        <v/>
      </c>
      <c r="H89" s="18">
        <f>IF(7&gt;=4,Assumptions!B64,0)</f>
        <v/>
      </c>
      <c r="I89" s="18">
        <f>IF(8&gt;=4,Assumptions!B64,0)</f>
        <v/>
      </c>
      <c r="J89" s="18">
        <f>IF(9&gt;=4,Assumptions!B64,0)</f>
        <v/>
      </c>
      <c r="K89" s="18">
        <f>IF(10&gt;=4,Assumptions!B64,0)</f>
        <v/>
      </c>
      <c r="L89" s="18">
        <f>IF(11&gt;=4,Assumptions!B64,0)</f>
        <v/>
      </c>
      <c r="M89" s="18">
        <f>IF(12&gt;=4,Assumptions!B64,0)</f>
        <v/>
      </c>
      <c r="N89" s="18">
        <f>IF(13&gt;=4,Assumptions!B64,0)</f>
        <v/>
      </c>
      <c r="O89" s="18">
        <f>IF(14&gt;=4,Assumptions!B64,0)</f>
        <v/>
      </c>
      <c r="P89" s="18">
        <f>IF(15&gt;=4,Assumptions!B64,0)</f>
        <v/>
      </c>
      <c r="Q89" s="18">
        <f>IF(16&gt;=4,Assumptions!B64,0)</f>
        <v/>
      </c>
      <c r="R89" s="18">
        <f>IF(17&gt;=4,Assumptions!B64,0)</f>
        <v/>
      </c>
      <c r="S89" s="18">
        <f>IF(18&gt;=4,Assumptions!B64,0)</f>
        <v/>
      </c>
      <c r="T89" s="18">
        <f>IF(19&gt;=4,Assumptions!B64,0)</f>
        <v/>
      </c>
      <c r="U89" s="18">
        <f>IF(20&gt;=4,Assumptions!B64,0)</f>
        <v/>
      </c>
      <c r="V89" s="18">
        <f>IF(21&gt;=4,Assumptions!B64,0)</f>
        <v/>
      </c>
      <c r="W89" s="18">
        <f>IF(22&gt;=4,Assumptions!B64,0)</f>
        <v/>
      </c>
      <c r="X89" s="18">
        <f>IF(23&gt;=4,Assumptions!B64,0)</f>
        <v/>
      </c>
      <c r="Y89" s="18">
        <f>IF(24&gt;=4,Assumptions!B64,0)</f>
        <v/>
      </c>
      <c r="Z89" s="18">
        <f>SUM(B89:Y89)</f>
        <v/>
      </c>
    </row>
    <row r="90">
      <c r="A90" s="17" t="inlineStr">
        <is>
          <t xml:space="preserve">    IHK Berlin</t>
        </is>
      </c>
      <c r="B90" s="18">
        <f>Assumptions!B65</f>
        <v/>
      </c>
      <c r="C90" s="18">
        <f>Assumptions!B65</f>
        <v/>
      </c>
      <c r="D90" s="18">
        <f>Assumptions!B65</f>
        <v/>
      </c>
      <c r="E90" s="18">
        <f>Assumptions!B65</f>
        <v/>
      </c>
      <c r="F90" s="18">
        <f>Assumptions!B65</f>
        <v/>
      </c>
      <c r="G90" s="18">
        <f>Assumptions!B65</f>
        <v/>
      </c>
      <c r="H90" s="18">
        <f>Assumptions!B65</f>
        <v/>
      </c>
      <c r="I90" s="18">
        <f>Assumptions!B65</f>
        <v/>
      </c>
      <c r="J90" s="18">
        <f>Assumptions!B65</f>
        <v/>
      </c>
      <c r="K90" s="18">
        <f>Assumptions!B65</f>
        <v/>
      </c>
      <c r="L90" s="18">
        <f>Assumptions!B65</f>
        <v/>
      </c>
      <c r="M90" s="18">
        <f>Assumptions!B65</f>
        <v/>
      </c>
      <c r="N90" s="18">
        <f>Assumptions!B65</f>
        <v/>
      </c>
      <c r="O90" s="18">
        <f>Assumptions!B65</f>
        <v/>
      </c>
      <c r="P90" s="18">
        <f>Assumptions!B65</f>
        <v/>
      </c>
      <c r="Q90" s="18">
        <f>Assumptions!B65</f>
        <v/>
      </c>
      <c r="R90" s="18">
        <f>Assumptions!B65</f>
        <v/>
      </c>
      <c r="S90" s="18">
        <f>Assumptions!B65</f>
        <v/>
      </c>
      <c r="T90" s="18">
        <f>Assumptions!B65</f>
        <v/>
      </c>
      <c r="U90" s="18">
        <f>Assumptions!B65</f>
        <v/>
      </c>
      <c r="V90" s="18">
        <f>Assumptions!B65</f>
        <v/>
      </c>
      <c r="W90" s="18">
        <f>Assumptions!B65</f>
        <v/>
      </c>
      <c r="X90" s="18">
        <f>Assumptions!B65</f>
        <v/>
      </c>
      <c r="Y90" s="18">
        <f>Assumptions!B65</f>
        <v/>
      </c>
      <c r="Z90" s="18">
        <f>SUM(B90:Y90)</f>
        <v/>
      </c>
    </row>
    <row r="91">
      <c r="A91" s="17" t="inlineStr">
        <is>
          <t xml:space="preserve">    Permits &amp; Licenses (M3)</t>
        </is>
      </c>
      <c r="B91" s="18">
        <f>IF(1=3,500,0)</f>
        <v/>
      </c>
      <c r="C91" s="18">
        <f>IF(2=3,500,0)</f>
        <v/>
      </c>
      <c r="D91" s="18">
        <f>IF(3=3,500,0)</f>
        <v/>
      </c>
      <c r="E91" s="18">
        <f>IF(4=3,500,0)</f>
        <v/>
      </c>
      <c r="F91" s="18">
        <f>IF(5=3,500,0)</f>
        <v/>
      </c>
      <c r="G91" s="18">
        <f>IF(6=3,500,0)</f>
        <v/>
      </c>
      <c r="H91" s="18">
        <f>IF(7=3,500,0)</f>
        <v/>
      </c>
      <c r="I91" s="18">
        <f>IF(8=3,500,0)</f>
        <v/>
      </c>
      <c r="J91" s="18">
        <f>IF(9=3,500,0)</f>
        <v/>
      </c>
      <c r="K91" s="18">
        <f>IF(10=3,500,0)</f>
        <v/>
      </c>
      <c r="L91" s="18">
        <f>IF(11=3,500,0)</f>
        <v/>
      </c>
      <c r="M91" s="18">
        <f>IF(12=3,500,0)</f>
        <v/>
      </c>
      <c r="N91" s="18">
        <f>IF(13=3,500,0)</f>
        <v/>
      </c>
      <c r="O91" s="18">
        <f>IF(14=3,500,0)</f>
        <v/>
      </c>
      <c r="P91" s="18">
        <f>IF(15=3,500,0)</f>
        <v/>
      </c>
      <c r="Q91" s="18">
        <f>IF(16=3,500,0)</f>
        <v/>
      </c>
      <c r="R91" s="18">
        <f>IF(17=3,500,0)</f>
        <v/>
      </c>
      <c r="S91" s="18">
        <f>IF(18=3,500,0)</f>
        <v/>
      </c>
      <c r="T91" s="18">
        <f>IF(19=3,500,0)</f>
        <v/>
      </c>
      <c r="U91" s="18">
        <f>IF(20=3,500,0)</f>
        <v/>
      </c>
      <c r="V91" s="18">
        <f>IF(21=3,500,0)</f>
        <v/>
      </c>
      <c r="W91" s="18">
        <f>IF(22=3,500,0)</f>
        <v/>
      </c>
      <c r="X91" s="18">
        <f>IF(23=3,500,0)</f>
        <v/>
      </c>
      <c r="Y91" s="18">
        <f>IF(24=3,500,0)</f>
        <v/>
      </c>
      <c r="Z91" s="18">
        <f>SUM(B91:Y91)</f>
        <v/>
      </c>
    </row>
    <row r="92">
      <c r="A92" s="19" t="inlineStr">
        <is>
          <t xml:space="preserve">    G&amp;A Total</t>
        </is>
      </c>
      <c r="B92" s="20">
        <f>B84+B85+B86+B87+B88+B89+B90+B91</f>
        <v/>
      </c>
      <c r="C92" s="20">
        <f>C84+C85+C86+C87+C88+C89+C90+C91</f>
        <v/>
      </c>
      <c r="D92" s="20">
        <f>D84+D85+D86+D87+D88+D89+D90+D91</f>
        <v/>
      </c>
      <c r="E92" s="20">
        <f>E84+E85+E86+E87+E88+E89+E90+E91</f>
        <v/>
      </c>
      <c r="F92" s="20">
        <f>F84+F85+F86+F87+F88+F89+F90+F91</f>
        <v/>
      </c>
      <c r="G92" s="20">
        <f>G84+G85+G86+G87+G88+G89+G90+G91</f>
        <v/>
      </c>
      <c r="H92" s="20">
        <f>H84+H85+H86+H87+H88+H89+H90+H91</f>
        <v/>
      </c>
      <c r="I92" s="20">
        <f>I84+I85+I86+I87+I88+I89+I90+I91</f>
        <v/>
      </c>
      <c r="J92" s="20">
        <f>J84+J85+J86+J87+J88+J89+J90+J91</f>
        <v/>
      </c>
      <c r="K92" s="20">
        <f>K84+K85+K86+K87+K88+K89+K90+K91</f>
        <v/>
      </c>
      <c r="L92" s="20">
        <f>L84+L85+L86+L87+L88+L89+L90+L91</f>
        <v/>
      </c>
      <c r="M92" s="20">
        <f>M84+M85+M86+M87+M88+M89+M90+M91</f>
        <v/>
      </c>
      <c r="N92" s="20">
        <f>N84+N85+N86+N87+N88+N89+N90+N91</f>
        <v/>
      </c>
      <c r="O92" s="20">
        <f>O84+O85+O86+O87+O88+O89+O90+O91</f>
        <v/>
      </c>
      <c r="P92" s="20">
        <f>P84+P85+P86+P87+P88+P89+P90+P91</f>
        <v/>
      </c>
      <c r="Q92" s="20">
        <f>Q84+Q85+Q86+Q87+Q88+Q89+Q90+Q91</f>
        <v/>
      </c>
      <c r="R92" s="20">
        <f>R84+R85+R86+R87+R88+R89+R90+R91</f>
        <v/>
      </c>
      <c r="S92" s="20">
        <f>S84+S85+S86+S87+S88+S89+S90+S91</f>
        <v/>
      </c>
      <c r="T92" s="20">
        <f>T84+T85+T86+T87+T88+T89+T90+T91</f>
        <v/>
      </c>
      <c r="U92" s="20">
        <f>U84+U85+U86+U87+U88+U89+U90+U91</f>
        <v/>
      </c>
      <c r="V92" s="20">
        <f>V84+V85+V86+V87+V88+V89+V90+V91</f>
        <v/>
      </c>
      <c r="W92" s="20">
        <f>W84+W85+W86+W87+W88+W89+W90+W91</f>
        <v/>
      </c>
      <c r="X92" s="20">
        <f>X84+X85+X86+X87+X88+X89+X90+X91</f>
        <v/>
      </c>
      <c r="Y92" s="20">
        <f>Y84+Y85+Y86+Y87+Y88+Y89+Y90+Y91</f>
        <v/>
      </c>
      <c r="Z92" s="20">
        <f>SUM(B92:Y92)</f>
        <v/>
      </c>
    </row>
    <row r="93">
      <c r="A93" s="9" t="inlineStr">
        <is>
          <t xml:space="preserve">  Management &amp; APIs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17" t="inlineStr">
        <is>
          <t xml:space="preserve">    SaaS Stack (D9)</t>
        </is>
      </c>
      <c r="B94" s="18">
        <f>IF(1&lt;=6,Assumptions!B55,IF(1&lt;=12,Assumptions!B56,Assumptions!B57))</f>
        <v/>
      </c>
      <c r="C94" s="18">
        <f>IF(2&lt;=6,Assumptions!B55,IF(2&lt;=12,Assumptions!B56,Assumptions!B57))</f>
        <v/>
      </c>
      <c r="D94" s="18">
        <f>IF(3&lt;=6,Assumptions!B55,IF(3&lt;=12,Assumptions!B56,Assumptions!B57))</f>
        <v/>
      </c>
      <c r="E94" s="18">
        <f>IF(4&lt;=6,Assumptions!B55,IF(4&lt;=12,Assumptions!B56,Assumptions!B57))</f>
        <v/>
      </c>
      <c r="F94" s="18">
        <f>IF(5&lt;=6,Assumptions!B55,IF(5&lt;=12,Assumptions!B56,Assumptions!B57))</f>
        <v/>
      </c>
      <c r="G94" s="18">
        <f>IF(6&lt;=6,Assumptions!B55,IF(6&lt;=12,Assumptions!B56,Assumptions!B57))</f>
        <v/>
      </c>
      <c r="H94" s="18">
        <f>IF(7&lt;=6,Assumptions!B55,IF(7&lt;=12,Assumptions!B56,Assumptions!B57))</f>
        <v/>
      </c>
      <c r="I94" s="18">
        <f>IF(8&lt;=6,Assumptions!B55,IF(8&lt;=12,Assumptions!B56,Assumptions!B57))</f>
        <v/>
      </c>
      <c r="J94" s="18">
        <f>IF(9&lt;=6,Assumptions!B55,IF(9&lt;=12,Assumptions!B56,Assumptions!B57))</f>
        <v/>
      </c>
      <c r="K94" s="18">
        <f>IF(10&lt;=6,Assumptions!B55,IF(10&lt;=12,Assumptions!B56,Assumptions!B57))</f>
        <v/>
      </c>
      <c r="L94" s="18">
        <f>IF(11&lt;=6,Assumptions!B55,IF(11&lt;=12,Assumptions!B56,Assumptions!B57))</f>
        <v/>
      </c>
      <c r="M94" s="18">
        <f>IF(12&lt;=6,Assumptions!B55,IF(12&lt;=12,Assumptions!B56,Assumptions!B57))</f>
        <v/>
      </c>
      <c r="N94" s="18">
        <f>IF(13&lt;=6,Assumptions!B55,IF(13&lt;=12,Assumptions!B56,Assumptions!B57))</f>
        <v/>
      </c>
      <c r="O94" s="18">
        <f>IF(14&lt;=6,Assumptions!B55,IF(14&lt;=12,Assumptions!B56,Assumptions!B57))</f>
        <v/>
      </c>
      <c r="P94" s="18">
        <f>IF(15&lt;=6,Assumptions!B55,IF(15&lt;=12,Assumptions!B56,Assumptions!B57))</f>
        <v/>
      </c>
      <c r="Q94" s="18">
        <f>IF(16&lt;=6,Assumptions!B55,IF(16&lt;=12,Assumptions!B56,Assumptions!B57))</f>
        <v/>
      </c>
      <c r="R94" s="18">
        <f>IF(17&lt;=6,Assumptions!B55,IF(17&lt;=12,Assumptions!B56,Assumptions!B57))</f>
        <v/>
      </c>
      <c r="S94" s="18">
        <f>IF(18&lt;=6,Assumptions!B55,IF(18&lt;=12,Assumptions!B56,Assumptions!B57))</f>
        <v/>
      </c>
      <c r="T94" s="18">
        <f>IF(19&lt;=6,Assumptions!B55,IF(19&lt;=12,Assumptions!B56,Assumptions!B57))</f>
        <v/>
      </c>
      <c r="U94" s="18">
        <f>IF(20&lt;=6,Assumptions!B55,IF(20&lt;=12,Assumptions!B56,Assumptions!B57))</f>
        <v/>
      </c>
      <c r="V94" s="18">
        <f>IF(21&lt;=6,Assumptions!B55,IF(21&lt;=12,Assumptions!B56,Assumptions!B57))</f>
        <v/>
      </c>
      <c r="W94" s="18">
        <f>IF(22&lt;=6,Assumptions!B55,IF(22&lt;=12,Assumptions!B56,Assumptions!B57))</f>
        <v/>
      </c>
      <c r="X94" s="18">
        <f>IF(23&lt;=6,Assumptions!B55,IF(23&lt;=12,Assumptions!B56,Assumptions!B57))</f>
        <v/>
      </c>
      <c r="Y94" s="18">
        <f>IF(24&lt;=6,Assumptions!B55,IF(24&lt;=12,Assumptions!B56,Assumptions!B57))</f>
        <v/>
      </c>
      <c r="Z94" s="18">
        <f>SUM(B94:Y94)</f>
        <v/>
      </c>
    </row>
    <row r="95">
      <c r="A95" s="17" t="inlineStr">
        <is>
          <t xml:space="preserve">    Claude Max (internal)</t>
        </is>
      </c>
      <c r="B95" s="18">
        <f>Assumptions!B54</f>
        <v/>
      </c>
      <c r="C95" s="18">
        <f>Assumptions!B54</f>
        <v/>
      </c>
      <c r="D95" s="18">
        <f>Assumptions!B54</f>
        <v/>
      </c>
      <c r="E95" s="18">
        <f>Assumptions!B54</f>
        <v/>
      </c>
      <c r="F95" s="18">
        <f>Assumptions!B54</f>
        <v/>
      </c>
      <c r="G95" s="18">
        <f>Assumptions!B54</f>
        <v/>
      </c>
      <c r="H95" s="18">
        <f>Assumptions!B54</f>
        <v/>
      </c>
      <c r="I95" s="18">
        <f>Assumptions!B54</f>
        <v/>
      </c>
      <c r="J95" s="18">
        <f>Assumptions!B54</f>
        <v/>
      </c>
      <c r="K95" s="18">
        <f>Assumptions!B54</f>
        <v/>
      </c>
      <c r="L95" s="18">
        <f>Assumptions!B54</f>
        <v/>
      </c>
      <c r="M95" s="18">
        <f>Assumptions!B54</f>
        <v/>
      </c>
      <c r="N95" s="18">
        <f>Assumptions!B54</f>
        <v/>
      </c>
      <c r="O95" s="18">
        <f>Assumptions!B54</f>
        <v/>
      </c>
      <c r="P95" s="18">
        <f>Assumptions!B54</f>
        <v/>
      </c>
      <c r="Q95" s="18">
        <f>Assumptions!B54</f>
        <v/>
      </c>
      <c r="R95" s="18">
        <f>Assumptions!B54</f>
        <v/>
      </c>
      <c r="S95" s="18">
        <f>Assumptions!B54</f>
        <v/>
      </c>
      <c r="T95" s="18">
        <f>Assumptions!B54</f>
        <v/>
      </c>
      <c r="U95" s="18">
        <f>Assumptions!B54</f>
        <v/>
      </c>
      <c r="V95" s="18">
        <f>Assumptions!B54</f>
        <v/>
      </c>
      <c r="W95" s="18">
        <f>Assumptions!B54</f>
        <v/>
      </c>
      <c r="X95" s="18">
        <f>Assumptions!B54</f>
        <v/>
      </c>
      <c r="Y95" s="18">
        <f>Assumptions!B54</f>
        <v/>
      </c>
      <c r="Z95" s="18">
        <f>SUM(B95:Y95)</f>
        <v/>
      </c>
    </row>
    <row r="96">
      <c r="A96" s="19" t="inlineStr">
        <is>
          <t xml:space="preserve">    Management Total</t>
        </is>
      </c>
      <c r="B96" s="20">
        <f>B94+B95</f>
        <v/>
      </c>
      <c r="C96" s="20">
        <f>C94+C95</f>
        <v/>
      </c>
      <c r="D96" s="20">
        <f>D94+D95</f>
        <v/>
      </c>
      <c r="E96" s="20">
        <f>E94+E95</f>
        <v/>
      </c>
      <c r="F96" s="20">
        <f>F94+F95</f>
        <v/>
      </c>
      <c r="G96" s="20">
        <f>G94+G95</f>
        <v/>
      </c>
      <c r="H96" s="20">
        <f>H94+H95</f>
        <v/>
      </c>
      <c r="I96" s="20">
        <f>I94+I95</f>
        <v/>
      </c>
      <c r="J96" s="20">
        <f>J94+J95</f>
        <v/>
      </c>
      <c r="K96" s="20">
        <f>K94+K95</f>
        <v/>
      </c>
      <c r="L96" s="20">
        <f>L94+L95</f>
        <v/>
      </c>
      <c r="M96" s="20">
        <f>M94+M95</f>
        <v/>
      </c>
      <c r="N96" s="20">
        <f>N94+N95</f>
        <v/>
      </c>
      <c r="O96" s="20">
        <f>O94+O95</f>
        <v/>
      </c>
      <c r="P96" s="20">
        <f>P94+P95</f>
        <v/>
      </c>
      <c r="Q96" s="20">
        <f>Q94+Q95</f>
        <v/>
      </c>
      <c r="R96" s="20">
        <f>R94+R95</f>
        <v/>
      </c>
      <c r="S96" s="20">
        <f>S94+S95</f>
        <v/>
      </c>
      <c r="T96" s="20">
        <f>T94+T95</f>
        <v/>
      </c>
      <c r="U96" s="20">
        <f>U94+U95</f>
        <v/>
      </c>
      <c r="V96" s="20">
        <f>V94+V95</f>
        <v/>
      </c>
      <c r="W96" s="20">
        <f>W94+W95</f>
        <v/>
      </c>
      <c r="X96" s="20">
        <f>X94+X95</f>
        <v/>
      </c>
      <c r="Y96" s="20">
        <f>Y94+Y95</f>
        <v/>
      </c>
      <c r="Z96" s="20">
        <f>SUM(B96:Y96)</f>
        <v/>
      </c>
    </row>
    <row r="97">
      <c r="A97" s="9" t="inlineStr">
        <is>
          <t xml:space="preserve">  Travel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17" t="inlineStr">
        <is>
          <t xml:space="preserve">    Investor Travel</t>
        </is>
      </c>
      <c r="B98" s="18">
        <f>Assumptions!B68</f>
        <v/>
      </c>
      <c r="C98" s="18">
        <f>Assumptions!B68</f>
        <v/>
      </c>
      <c r="D98" s="18">
        <f>Assumptions!B68</f>
        <v/>
      </c>
      <c r="E98" s="18">
        <f>Assumptions!B68</f>
        <v/>
      </c>
      <c r="F98" s="18">
        <f>Assumptions!B68</f>
        <v/>
      </c>
      <c r="G98" s="18">
        <f>Assumptions!B68</f>
        <v/>
      </c>
      <c r="H98" s="18">
        <f>Assumptions!B68</f>
        <v/>
      </c>
      <c r="I98" s="18">
        <f>Assumptions!B68</f>
        <v/>
      </c>
      <c r="J98" s="18">
        <f>Assumptions!B68</f>
        <v/>
      </c>
      <c r="K98" s="18">
        <f>Assumptions!B68</f>
        <v/>
      </c>
      <c r="L98" s="18">
        <f>Assumptions!B68</f>
        <v/>
      </c>
      <c r="M98" s="18">
        <f>Assumptions!B68</f>
        <v/>
      </c>
      <c r="N98" s="18">
        <f>Assumptions!B68</f>
        <v/>
      </c>
      <c r="O98" s="18">
        <f>Assumptions!B68</f>
        <v/>
      </c>
      <c r="P98" s="18">
        <f>Assumptions!B68</f>
        <v/>
      </c>
      <c r="Q98" s="18">
        <f>Assumptions!B68</f>
        <v/>
      </c>
      <c r="R98" s="18">
        <f>Assumptions!B68</f>
        <v/>
      </c>
      <c r="S98" s="18">
        <f>Assumptions!B68</f>
        <v/>
      </c>
      <c r="T98" s="18">
        <f>Assumptions!B68</f>
        <v/>
      </c>
      <c r="U98" s="18">
        <f>Assumptions!B68</f>
        <v/>
      </c>
      <c r="V98" s="18">
        <f>Assumptions!B68</f>
        <v/>
      </c>
      <c r="W98" s="18">
        <f>Assumptions!B68</f>
        <v/>
      </c>
      <c r="X98" s="18">
        <f>Assumptions!B68</f>
        <v/>
      </c>
      <c r="Y98" s="18">
        <f>Assumptions!B68</f>
        <v/>
      </c>
      <c r="Z98" s="18">
        <f>SUM(B98:Y98)</f>
        <v/>
      </c>
    </row>
    <row r="99">
      <c r="A99" s="17" t="inlineStr">
        <is>
          <t xml:space="preserve">    Conferences (M7+)</t>
        </is>
      </c>
      <c r="B99" s="18">
        <f>IF(1&gt;=7,Assumptions!B69,0)</f>
        <v/>
      </c>
      <c r="C99" s="18">
        <f>IF(2&gt;=7,Assumptions!B69,0)</f>
        <v/>
      </c>
      <c r="D99" s="18">
        <f>IF(3&gt;=7,Assumptions!B69,0)</f>
        <v/>
      </c>
      <c r="E99" s="18">
        <f>IF(4&gt;=7,Assumptions!B69,0)</f>
        <v/>
      </c>
      <c r="F99" s="18">
        <f>IF(5&gt;=7,Assumptions!B69,0)</f>
        <v/>
      </c>
      <c r="G99" s="18">
        <f>IF(6&gt;=7,Assumptions!B69,0)</f>
        <v/>
      </c>
      <c r="H99" s="18">
        <f>IF(7&gt;=7,Assumptions!B69,0)</f>
        <v/>
      </c>
      <c r="I99" s="18">
        <f>IF(8&gt;=7,Assumptions!B69,0)</f>
        <v/>
      </c>
      <c r="J99" s="18">
        <f>IF(9&gt;=7,Assumptions!B69,0)</f>
        <v/>
      </c>
      <c r="K99" s="18">
        <f>IF(10&gt;=7,Assumptions!B69,0)</f>
        <v/>
      </c>
      <c r="L99" s="18">
        <f>IF(11&gt;=7,Assumptions!B69,0)</f>
        <v/>
      </c>
      <c r="M99" s="18">
        <f>IF(12&gt;=7,Assumptions!B69,0)</f>
        <v/>
      </c>
      <c r="N99" s="18">
        <f>IF(13&gt;=7,Assumptions!B69,0)</f>
        <v/>
      </c>
      <c r="O99" s="18">
        <f>IF(14&gt;=7,Assumptions!B69,0)</f>
        <v/>
      </c>
      <c r="P99" s="18">
        <f>IF(15&gt;=7,Assumptions!B69,0)</f>
        <v/>
      </c>
      <c r="Q99" s="18">
        <f>IF(16&gt;=7,Assumptions!B69,0)</f>
        <v/>
      </c>
      <c r="R99" s="18">
        <f>IF(17&gt;=7,Assumptions!B69,0)</f>
        <v/>
      </c>
      <c r="S99" s="18">
        <f>IF(18&gt;=7,Assumptions!B69,0)</f>
        <v/>
      </c>
      <c r="T99" s="18">
        <f>IF(19&gt;=7,Assumptions!B69,0)</f>
        <v/>
      </c>
      <c r="U99" s="18">
        <f>IF(20&gt;=7,Assumptions!B69,0)</f>
        <v/>
      </c>
      <c r="V99" s="18">
        <f>IF(21&gt;=7,Assumptions!B69,0)</f>
        <v/>
      </c>
      <c r="W99" s="18">
        <f>IF(22&gt;=7,Assumptions!B69,0)</f>
        <v/>
      </c>
      <c r="X99" s="18">
        <f>IF(23&gt;=7,Assumptions!B69,0)</f>
        <v/>
      </c>
      <c r="Y99" s="18">
        <f>IF(24&gt;=7,Assumptions!B69,0)</f>
        <v/>
      </c>
      <c r="Z99" s="18">
        <f>SUM(B99:Y99)</f>
        <v/>
      </c>
    </row>
    <row r="100">
      <c r="A100" s="17" t="inlineStr">
        <is>
          <t xml:space="preserve">    Local Transport</t>
        </is>
      </c>
      <c r="B100" s="18">
        <f>Assumptions!B70</f>
        <v/>
      </c>
      <c r="C100" s="18">
        <f>Assumptions!B70</f>
        <v/>
      </c>
      <c r="D100" s="18">
        <f>Assumptions!B70</f>
        <v/>
      </c>
      <c r="E100" s="18">
        <f>Assumptions!B70</f>
        <v/>
      </c>
      <c r="F100" s="18">
        <f>Assumptions!B70</f>
        <v/>
      </c>
      <c r="G100" s="18">
        <f>Assumptions!B70</f>
        <v/>
      </c>
      <c r="H100" s="18">
        <f>Assumptions!B70</f>
        <v/>
      </c>
      <c r="I100" s="18">
        <f>Assumptions!B70</f>
        <v/>
      </c>
      <c r="J100" s="18">
        <f>Assumptions!B70</f>
        <v/>
      </c>
      <c r="K100" s="18">
        <f>Assumptions!B70</f>
        <v/>
      </c>
      <c r="L100" s="18">
        <f>Assumptions!B70</f>
        <v/>
      </c>
      <c r="M100" s="18">
        <f>Assumptions!B70</f>
        <v/>
      </c>
      <c r="N100" s="18">
        <f>Assumptions!B70</f>
        <v/>
      </c>
      <c r="O100" s="18">
        <f>Assumptions!B70</f>
        <v/>
      </c>
      <c r="P100" s="18">
        <f>Assumptions!B70</f>
        <v/>
      </c>
      <c r="Q100" s="18">
        <f>Assumptions!B70</f>
        <v/>
      </c>
      <c r="R100" s="18">
        <f>Assumptions!B70</f>
        <v/>
      </c>
      <c r="S100" s="18">
        <f>Assumptions!B70</f>
        <v/>
      </c>
      <c r="T100" s="18">
        <f>Assumptions!B70</f>
        <v/>
      </c>
      <c r="U100" s="18">
        <f>Assumptions!B70</f>
        <v/>
      </c>
      <c r="V100" s="18">
        <f>Assumptions!B70</f>
        <v/>
      </c>
      <c r="W100" s="18">
        <f>Assumptions!B70</f>
        <v/>
      </c>
      <c r="X100" s="18">
        <f>Assumptions!B70</f>
        <v/>
      </c>
      <c r="Y100" s="18">
        <f>Assumptions!B70</f>
        <v/>
      </c>
      <c r="Z100" s="18">
        <f>SUM(B100:Y100)</f>
        <v/>
      </c>
    </row>
    <row r="101">
      <c r="A101" s="19" t="inlineStr">
        <is>
          <t xml:space="preserve">    Travel Total</t>
        </is>
      </c>
      <c r="B101" s="20">
        <f>B98+B99+B100</f>
        <v/>
      </c>
      <c r="C101" s="20">
        <f>C98+C99+C100</f>
        <v/>
      </c>
      <c r="D101" s="20">
        <f>D98+D99+D100</f>
        <v/>
      </c>
      <c r="E101" s="20">
        <f>E98+E99+E100</f>
        <v/>
      </c>
      <c r="F101" s="20">
        <f>F98+F99+F100</f>
        <v/>
      </c>
      <c r="G101" s="20">
        <f>G98+G99+G100</f>
        <v/>
      </c>
      <c r="H101" s="20">
        <f>H98+H99+H100</f>
        <v/>
      </c>
      <c r="I101" s="20">
        <f>I98+I99+I100</f>
        <v/>
      </c>
      <c r="J101" s="20">
        <f>J98+J99+J100</f>
        <v/>
      </c>
      <c r="K101" s="20">
        <f>K98+K99+K100</f>
        <v/>
      </c>
      <c r="L101" s="20">
        <f>L98+L99+L100</f>
        <v/>
      </c>
      <c r="M101" s="20">
        <f>M98+M99+M100</f>
        <v/>
      </c>
      <c r="N101" s="20">
        <f>N98+N99+N100</f>
        <v/>
      </c>
      <c r="O101" s="20">
        <f>O98+O99+O100</f>
        <v/>
      </c>
      <c r="P101" s="20">
        <f>P98+P99+P100</f>
        <v/>
      </c>
      <c r="Q101" s="20">
        <f>Q98+Q99+Q100</f>
        <v/>
      </c>
      <c r="R101" s="20">
        <f>R98+R99+R100</f>
        <v/>
      </c>
      <c r="S101" s="20">
        <f>S98+S99+S100</f>
        <v/>
      </c>
      <c r="T101" s="20">
        <f>T98+T99+T100</f>
        <v/>
      </c>
      <c r="U101" s="20">
        <f>U98+U99+U100</f>
        <v/>
      </c>
      <c r="V101" s="20">
        <f>V98+V99+V100</f>
        <v/>
      </c>
      <c r="W101" s="20">
        <f>W98+W99+W100</f>
        <v/>
      </c>
      <c r="X101" s="20">
        <f>X98+X99+X100</f>
        <v/>
      </c>
      <c r="Y101" s="20">
        <f>Y98+Y99+Y100</f>
        <v/>
      </c>
      <c r="Z101" s="20">
        <f>SUM(B101:Y101)</f>
        <v/>
      </c>
    </row>
    <row r="102">
      <c r="A102" s="17" t="inlineStr">
        <is>
          <t xml:space="preserve">  Recruitment (CTO search M17)</t>
        </is>
      </c>
      <c r="B102" s="18">
        <f>IF(1=17,Assumptions!B72,0)</f>
        <v/>
      </c>
      <c r="C102" s="18">
        <f>IF(2=17,Assumptions!B72,0)</f>
        <v/>
      </c>
      <c r="D102" s="18">
        <f>IF(3=17,Assumptions!B72,0)</f>
        <v/>
      </c>
      <c r="E102" s="18">
        <f>IF(4=17,Assumptions!B72,0)</f>
        <v/>
      </c>
      <c r="F102" s="18">
        <f>IF(5=17,Assumptions!B72,0)</f>
        <v/>
      </c>
      <c r="G102" s="18">
        <f>IF(6=17,Assumptions!B72,0)</f>
        <v/>
      </c>
      <c r="H102" s="18">
        <f>IF(7=17,Assumptions!B72,0)</f>
        <v/>
      </c>
      <c r="I102" s="18">
        <f>IF(8=17,Assumptions!B72,0)</f>
        <v/>
      </c>
      <c r="J102" s="18">
        <f>IF(9=17,Assumptions!B72,0)</f>
        <v/>
      </c>
      <c r="K102" s="18">
        <f>IF(10=17,Assumptions!B72,0)</f>
        <v/>
      </c>
      <c r="L102" s="18">
        <f>IF(11=17,Assumptions!B72,0)</f>
        <v/>
      </c>
      <c r="M102" s="18">
        <f>IF(12=17,Assumptions!B72,0)</f>
        <v/>
      </c>
      <c r="N102" s="18">
        <f>IF(13=17,Assumptions!B72,0)</f>
        <v/>
      </c>
      <c r="O102" s="18">
        <f>IF(14=17,Assumptions!B72,0)</f>
        <v/>
      </c>
      <c r="P102" s="18">
        <f>IF(15=17,Assumptions!B72,0)</f>
        <v/>
      </c>
      <c r="Q102" s="18">
        <f>IF(16=17,Assumptions!B72,0)</f>
        <v/>
      </c>
      <c r="R102" s="18">
        <f>IF(17=17,Assumptions!B72,0)</f>
        <v/>
      </c>
      <c r="S102" s="18">
        <f>IF(18=17,Assumptions!B72,0)</f>
        <v/>
      </c>
      <c r="T102" s="18">
        <f>IF(19=17,Assumptions!B72,0)</f>
        <v/>
      </c>
      <c r="U102" s="18">
        <f>IF(20=17,Assumptions!B72,0)</f>
        <v/>
      </c>
      <c r="V102" s="18">
        <f>IF(21=17,Assumptions!B72,0)</f>
        <v/>
      </c>
      <c r="W102" s="18">
        <f>IF(22=17,Assumptions!B72,0)</f>
        <v/>
      </c>
      <c r="X102" s="18">
        <f>IF(23=17,Assumptions!B72,0)</f>
        <v/>
      </c>
      <c r="Y102" s="18">
        <f>IF(24=17,Assumptions!B72,0)</f>
        <v/>
      </c>
      <c r="Z102" s="18">
        <f>SUM(B102:Y102)</f>
        <v/>
      </c>
    </row>
    <row r="104">
      <c r="A104" s="7" t="inlineStr">
        <is>
          <t xml:space="preserve">  OpEx (pre-contingency)</t>
        </is>
      </c>
      <c r="B104" s="8">
        <f>B73+B77+B82+B92+B96+B101+B102</f>
        <v/>
      </c>
      <c r="C104" s="8">
        <f>C73+C77+C82+C92+C96+C101+C102</f>
        <v/>
      </c>
      <c r="D104" s="8">
        <f>D73+D77+D82+D92+D96+D101+D102</f>
        <v/>
      </c>
      <c r="E104" s="8">
        <f>E73+E77+E82+E92+E96+E101+E102</f>
        <v/>
      </c>
      <c r="F104" s="8">
        <f>F73+F77+F82+F92+F96+F101+F102</f>
        <v/>
      </c>
      <c r="G104" s="8">
        <f>G73+G77+G82+G92+G96+G101+G102</f>
        <v/>
      </c>
      <c r="H104" s="8">
        <f>H73+H77+H82+H92+H96+H101+H102</f>
        <v/>
      </c>
      <c r="I104" s="8">
        <f>I73+I77+I82+I92+I96+I101+I102</f>
        <v/>
      </c>
      <c r="J104" s="8">
        <f>J73+J77+J82+J92+J96+J101+J102</f>
        <v/>
      </c>
      <c r="K104" s="8">
        <f>K73+K77+K82+K92+K96+K101+K102</f>
        <v/>
      </c>
      <c r="L104" s="8">
        <f>L73+L77+L82+L92+L96+L101+L102</f>
        <v/>
      </c>
      <c r="M104" s="8">
        <f>M73+M77+M82+M92+M96+M101+M102</f>
        <v/>
      </c>
      <c r="N104" s="8">
        <f>N73+N77+N82+N92+N96+N101+N102</f>
        <v/>
      </c>
      <c r="O104" s="8">
        <f>O73+O77+O82+O92+O96+O101+O102</f>
        <v/>
      </c>
      <c r="P104" s="8">
        <f>P73+P77+P82+P92+P96+P101+P102</f>
        <v/>
      </c>
      <c r="Q104" s="8">
        <f>Q73+Q77+Q82+Q92+Q96+Q101+Q102</f>
        <v/>
      </c>
      <c r="R104" s="8">
        <f>R73+R77+R82+R92+R96+R101+R102</f>
        <v/>
      </c>
      <c r="S104" s="8">
        <f>S73+S77+S82+S92+S96+S101+S102</f>
        <v/>
      </c>
      <c r="T104" s="8">
        <f>T73+T77+T82+T92+T96+T101+T102</f>
        <v/>
      </c>
      <c r="U104" s="8">
        <f>U73+U77+U82+U92+U96+U101+U102</f>
        <v/>
      </c>
      <c r="V104" s="8">
        <f>V73+V77+V82+V92+V96+V101+V102</f>
        <v/>
      </c>
      <c r="W104" s="8">
        <f>W73+W77+W82+W92+W96+W101+W102</f>
        <v/>
      </c>
      <c r="X104" s="8">
        <f>X73+X77+X82+X92+X96+X101+X102</f>
        <v/>
      </c>
      <c r="Y104" s="8">
        <f>Y73+Y77+Y82+Y92+Y96+Y101+Y102</f>
        <v/>
      </c>
      <c r="Z104" s="8">
        <f>SUM(B104:Y104)</f>
        <v/>
      </c>
    </row>
    <row r="105">
      <c r="A105" s="17" t="inlineStr">
        <is>
          <t xml:space="preserve">  Contingency Buffer (10%)</t>
        </is>
      </c>
      <c r="B105" s="18">
        <f>ROUND(B104*Assumptions!B71,0)</f>
        <v/>
      </c>
      <c r="C105" s="18">
        <f>ROUND(C104*Assumptions!B71,0)</f>
        <v/>
      </c>
      <c r="D105" s="18">
        <f>ROUND(D104*Assumptions!B71,0)</f>
        <v/>
      </c>
      <c r="E105" s="18">
        <f>ROUND(E104*Assumptions!B71,0)</f>
        <v/>
      </c>
      <c r="F105" s="18">
        <f>ROUND(F104*Assumptions!B71,0)</f>
        <v/>
      </c>
      <c r="G105" s="18">
        <f>ROUND(G104*Assumptions!B71,0)</f>
        <v/>
      </c>
      <c r="H105" s="18">
        <f>ROUND(H104*Assumptions!B71,0)</f>
        <v/>
      </c>
      <c r="I105" s="18">
        <f>ROUND(I104*Assumptions!B71,0)</f>
        <v/>
      </c>
      <c r="J105" s="18">
        <f>ROUND(J104*Assumptions!B71,0)</f>
        <v/>
      </c>
      <c r="K105" s="18">
        <f>ROUND(K104*Assumptions!B71,0)</f>
        <v/>
      </c>
      <c r="L105" s="18">
        <f>ROUND(L104*Assumptions!B71,0)</f>
        <v/>
      </c>
      <c r="M105" s="18">
        <f>ROUND(M104*Assumptions!B71,0)</f>
        <v/>
      </c>
      <c r="N105" s="18">
        <f>ROUND(N104*Assumptions!B71,0)</f>
        <v/>
      </c>
      <c r="O105" s="18">
        <f>ROUND(O104*Assumptions!B71,0)</f>
        <v/>
      </c>
      <c r="P105" s="18">
        <f>ROUND(P104*Assumptions!B71,0)</f>
        <v/>
      </c>
      <c r="Q105" s="18">
        <f>ROUND(Q104*Assumptions!B71,0)</f>
        <v/>
      </c>
      <c r="R105" s="18">
        <f>ROUND(R104*Assumptions!B71,0)</f>
        <v/>
      </c>
      <c r="S105" s="18">
        <f>ROUND(S104*Assumptions!B71,0)</f>
        <v/>
      </c>
      <c r="T105" s="18">
        <f>ROUND(T104*Assumptions!B71,0)</f>
        <v/>
      </c>
      <c r="U105" s="18">
        <f>ROUND(U104*Assumptions!B71,0)</f>
        <v/>
      </c>
      <c r="V105" s="18">
        <f>ROUND(V104*Assumptions!B71,0)</f>
        <v/>
      </c>
      <c r="W105" s="18">
        <f>ROUND(W104*Assumptions!B71,0)</f>
        <v/>
      </c>
      <c r="X105" s="18">
        <f>ROUND(X104*Assumptions!B71,0)</f>
        <v/>
      </c>
      <c r="Y105" s="18">
        <f>ROUND(Y104*Assumptions!B71,0)</f>
        <v/>
      </c>
      <c r="Z105" s="18">
        <f>SUM(B105:Y105)</f>
        <v/>
      </c>
    </row>
    <row r="107">
      <c r="A107" s="21" t="inlineStr">
        <is>
          <t>TOTAL OPEX</t>
        </is>
      </c>
      <c r="B107" s="22">
        <f>B104+B105</f>
        <v/>
      </c>
      <c r="C107" s="22">
        <f>C104+C105</f>
        <v/>
      </c>
      <c r="D107" s="22">
        <f>D104+D105</f>
        <v/>
      </c>
      <c r="E107" s="22">
        <f>E104+E105</f>
        <v/>
      </c>
      <c r="F107" s="22">
        <f>F104+F105</f>
        <v/>
      </c>
      <c r="G107" s="22">
        <f>G104+G105</f>
        <v/>
      </c>
      <c r="H107" s="22">
        <f>H104+H105</f>
        <v/>
      </c>
      <c r="I107" s="22">
        <f>I104+I105</f>
        <v/>
      </c>
      <c r="J107" s="22">
        <f>J104+J105</f>
        <v/>
      </c>
      <c r="K107" s="22">
        <f>K104+K105</f>
        <v/>
      </c>
      <c r="L107" s="22">
        <f>L104+L105</f>
        <v/>
      </c>
      <c r="M107" s="22">
        <f>M104+M105</f>
        <v/>
      </c>
      <c r="N107" s="22">
        <f>N104+N105</f>
        <v/>
      </c>
      <c r="O107" s="22">
        <f>O104+O105</f>
        <v/>
      </c>
      <c r="P107" s="22">
        <f>P104+P105</f>
        <v/>
      </c>
      <c r="Q107" s="22">
        <f>Q104+Q105</f>
        <v/>
      </c>
      <c r="R107" s="22">
        <f>R104+R105</f>
        <v/>
      </c>
      <c r="S107" s="22">
        <f>S104+S105</f>
        <v/>
      </c>
      <c r="T107" s="22">
        <f>T104+T105</f>
        <v/>
      </c>
      <c r="U107" s="22">
        <f>U104+U105</f>
        <v/>
      </c>
      <c r="V107" s="22">
        <f>V104+V105</f>
        <v/>
      </c>
      <c r="W107" s="22">
        <f>W104+W105</f>
        <v/>
      </c>
      <c r="X107" s="22">
        <f>X104+X105</f>
        <v/>
      </c>
      <c r="Y107" s="22">
        <f>Y104+Y105</f>
        <v/>
      </c>
      <c r="Z107" s="22">
        <f>SUM(B107:Y107)</f>
        <v/>
      </c>
    </row>
    <row r="109">
      <c r="A109" s="21" t="inlineStr">
        <is>
          <t>EBITDA</t>
        </is>
      </c>
      <c r="B109" s="22">
        <f>B61-B107</f>
        <v/>
      </c>
      <c r="C109" s="22">
        <f>C61-C107</f>
        <v/>
      </c>
      <c r="D109" s="22">
        <f>D61-D107</f>
        <v/>
      </c>
      <c r="E109" s="22">
        <f>E61-E107</f>
        <v/>
      </c>
      <c r="F109" s="22">
        <f>F61-F107</f>
        <v/>
      </c>
      <c r="G109" s="22">
        <f>G61-G107</f>
        <v/>
      </c>
      <c r="H109" s="22">
        <f>H61-H107</f>
        <v/>
      </c>
      <c r="I109" s="22">
        <f>I61-I107</f>
        <v/>
      </c>
      <c r="J109" s="22">
        <f>J61-J107</f>
        <v/>
      </c>
      <c r="K109" s="22">
        <f>K61-K107</f>
        <v/>
      </c>
      <c r="L109" s="22">
        <f>L61-L107</f>
        <v/>
      </c>
      <c r="M109" s="22">
        <f>M61-M107</f>
        <v/>
      </c>
      <c r="N109" s="22">
        <f>N61-N107</f>
        <v/>
      </c>
      <c r="O109" s="22">
        <f>O61-O107</f>
        <v/>
      </c>
      <c r="P109" s="22">
        <f>P61-P107</f>
        <v/>
      </c>
      <c r="Q109" s="22">
        <f>Q61-Q107</f>
        <v/>
      </c>
      <c r="R109" s="22">
        <f>R61-R107</f>
        <v/>
      </c>
      <c r="S109" s="22">
        <f>S61-S107</f>
        <v/>
      </c>
      <c r="T109" s="22">
        <f>T61-T107</f>
        <v/>
      </c>
      <c r="U109" s="22">
        <f>U61-U107</f>
        <v/>
      </c>
      <c r="V109" s="22">
        <f>V61-V107</f>
        <v/>
      </c>
      <c r="W109" s="22">
        <f>W61-W107</f>
        <v/>
      </c>
      <c r="X109" s="22">
        <f>X61-X107</f>
        <v/>
      </c>
      <c r="Y109" s="22">
        <f>Y61-Y107</f>
        <v/>
      </c>
      <c r="Z109" s="22">
        <f>SUM(B109:Y109)</f>
        <v/>
      </c>
    </row>
    <row r="111">
      <c r="A111" s="4" t="inlineStr">
        <is>
          <t>CAPITAL EXPENDITURES (CapEx)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17" t="inlineStr">
        <is>
          <t xml:space="preserve">  GmbH Formation (M1)</t>
        </is>
      </c>
      <c r="B112" s="18">
        <f>IF(1=1,Assumptions!B75,0)</f>
        <v/>
      </c>
      <c r="C112" s="18">
        <f>IF(2=1,Assumptions!B75,0)</f>
        <v/>
      </c>
      <c r="D112" s="18">
        <f>IF(3=1,Assumptions!B75,0)</f>
        <v/>
      </c>
      <c r="E112" s="18">
        <f>IF(4=1,Assumptions!B75,0)</f>
        <v/>
      </c>
      <c r="F112" s="18">
        <f>IF(5=1,Assumptions!B75,0)</f>
        <v/>
      </c>
      <c r="G112" s="18">
        <f>IF(6=1,Assumptions!B75,0)</f>
        <v/>
      </c>
      <c r="H112" s="18">
        <f>IF(7=1,Assumptions!B75,0)</f>
        <v/>
      </c>
      <c r="I112" s="18">
        <f>IF(8=1,Assumptions!B75,0)</f>
        <v/>
      </c>
      <c r="J112" s="18">
        <f>IF(9=1,Assumptions!B75,0)</f>
        <v/>
      </c>
      <c r="K112" s="18">
        <f>IF(10=1,Assumptions!B75,0)</f>
        <v/>
      </c>
      <c r="L112" s="18">
        <f>IF(11=1,Assumptions!B75,0)</f>
        <v/>
      </c>
      <c r="M112" s="18">
        <f>IF(12=1,Assumptions!B75,0)</f>
        <v/>
      </c>
      <c r="N112" s="18">
        <f>IF(13=1,Assumptions!B75,0)</f>
        <v/>
      </c>
      <c r="O112" s="18">
        <f>IF(14=1,Assumptions!B75,0)</f>
        <v/>
      </c>
      <c r="P112" s="18">
        <f>IF(15=1,Assumptions!B75,0)</f>
        <v/>
      </c>
      <c r="Q112" s="18">
        <f>IF(16=1,Assumptions!B75,0)</f>
        <v/>
      </c>
      <c r="R112" s="18">
        <f>IF(17=1,Assumptions!B75,0)</f>
        <v/>
      </c>
      <c r="S112" s="18">
        <f>IF(18=1,Assumptions!B75,0)</f>
        <v/>
      </c>
      <c r="T112" s="18">
        <f>IF(19=1,Assumptions!B75,0)</f>
        <v/>
      </c>
      <c r="U112" s="18">
        <f>IF(20=1,Assumptions!B75,0)</f>
        <v/>
      </c>
      <c r="V112" s="18">
        <f>IF(21=1,Assumptions!B75,0)</f>
        <v/>
      </c>
      <c r="W112" s="18">
        <f>IF(22=1,Assumptions!B75,0)</f>
        <v/>
      </c>
      <c r="X112" s="18">
        <f>IF(23=1,Assumptions!B75,0)</f>
        <v/>
      </c>
      <c r="Y112" s="18">
        <f>IF(24=1,Assumptions!B75,0)</f>
        <v/>
      </c>
      <c r="Z112" s="18">
        <f>SUM(B112:Y112)</f>
        <v/>
      </c>
    </row>
    <row r="113">
      <c r="A113" s="17" t="inlineStr">
        <is>
          <t xml:space="preserve">  Legal Opinion HWG (M1)</t>
        </is>
      </c>
      <c r="B113" s="18">
        <f>IF(1=1,Assumptions!B76,0)</f>
        <v/>
      </c>
      <c r="C113" s="18">
        <f>IF(2=1,Assumptions!B76,0)</f>
        <v/>
      </c>
      <c r="D113" s="18">
        <f>IF(3=1,Assumptions!B76,0)</f>
        <v/>
      </c>
      <c r="E113" s="18">
        <f>IF(4=1,Assumptions!B76,0)</f>
        <v/>
      </c>
      <c r="F113" s="18">
        <f>IF(5=1,Assumptions!B76,0)</f>
        <v/>
      </c>
      <c r="G113" s="18">
        <f>IF(6=1,Assumptions!B76,0)</f>
        <v/>
      </c>
      <c r="H113" s="18">
        <f>IF(7=1,Assumptions!B76,0)</f>
        <v/>
      </c>
      <c r="I113" s="18">
        <f>IF(8=1,Assumptions!B76,0)</f>
        <v/>
      </c>
      <c r="J113" s="18">
        <f>IF(9=1,Assumptions!B76,0)</f>
        <v/>
      </c>
      <c r="K113" s="18">
        <f>IF(10=1,Assumptions!B76,0)</f>
        <v/>
      </c>
      <c r="L113" s="18">
        <f>IF(11=1,Assumptions!B76,0)</f>
        <v/>
      </c>
      <c r="M113" s="18">
        <f>IF(12=1,Assumptions!B76,0)</f>
        <v/>
      </c>
      <c r="N113" s="18">
        <f>IF(13=1,Assumptions!B76,0)</f>
        <v/>
      </c>
      <c r="O113" s="18">
        <f>IF(14=1,Assumptions!B76,0)</f>
        <v/>
      </c>
      <c r="P113" s="18">
        <f>IF(15=1,Assumptions!B76,0)</f>
        <v/>
      </c>
      <c r="Q113" s="18">
        <f>IF(16=1,Assumptions!B76,0)</f>
        <v/>
      </c>
      <c r="R113" s="18">
        <f>IF(17=1,Assumptions!B76,0)</f>
        <v/>
      </c>
      <c r="S113" s="18">
        <f>IF(18=1,Assumptions!B76,0)</f>
        <v/>
      </c>
      <c r="T113" s="18">
        <f>IF(19=1,Assumptions!B76,0)</f>
        <v/>
      </c>
      <c r="U113" s="18">
        <f>IF(20=1,Assumptions!B76,0)</f>
        <v/>
      </c>
      <c r="V113" s="18">
        <f>IF(21=1,Assumptions!B76,0)</f>
        <v/>
      </c>
      <c r="W113" s="18">
        <f>IF(22=1,Assumptions!B76,0)</f>
        <v/>
      </c>
      <c r="X113" s="18">
        <f>IF(23=1,Assumptions!B76,0)</f>
        <v/>
      </c>
      <c r="Y113" s="18">
        <f>IF(24=1,Assumptions!B76,0)</f>
        <v/>
      </c>
      <c r="Z113" s="18">
        <f>SUM(B113:Y113)</f>
        <v/>
      </c>
    </row>
    <row r="114">
      <c r="A114" s="17" t="inlineStr">
        <is>
          <t xml:space="preserve">  R&amp;D Stability Testing (M1)</t>
        </is>
      </c>
      <c r="B114" s="18">
        <f>IF(1=1,Assumptions!B77,0)</f>
        <v/>
      </c>
      <c r="C114" s="18">
        <f>IF(2=1,Assumptions!B77,0)</f>
        <v/>
      </c>
      <c r="D114" s="18">
        <f>IF(3=1,Assumptions!B77,0)</f>
        <v/>
      </c>
      <c r="E114" s="18">
        <f>IF(4=1,Assumptions!B77,0)</f>
        <v/>
      </c>
      <c r="F114" s="18">
        <f>IF(5=1,Assumptions!B77,0)</f>
        <v/>
      </c>
      <c r="G114" s="18">
        <f>IF(6=1,Assumptions!B77,0)</f>
        <v/>
      </c>
      <c r="H114" s="18">
        <f>IF(7=1,Assumptions!B77,0)</f>
        <v/>
      </c>
      <c r="I114" s="18">
        <f>IF(8=1,Assumptions!B77,0)</f>
        <v/>
      </c>
      <c r="J114" s="18">
        <f>IF(9=1,Assumptions!B77,0)</f>
        <v/>
      </c>
      <c r="K114" s="18">
        <f>IF(10=1,Assumptions!B77,0)</f>
        <v/>
      </c>
      <c r="L114" s="18">
        <f>IF(11=1,Assumptions!B77,0)</f>
        <v/>
      </c>
      <c r="M114" s="18">
        <f>IF(12=1,Assumptions!B77,0)</f>
        <v/>
      </c>
      <c r="N114" s="18">
        <f>IF(13=1,Assumptions!B77,0)</f>
        <v/>
      </c>
      <c r="O114" s="18">
        <f>IF(14=1,Assumptions!B77,0)</f>
        <v/>
      </c>
      <c r="P114" s="18">
        <f>IF(15=1,Assumptions!B77,0)</f>
        <v/>
      </c>
      <c r="Q114" s="18">
        <f>IF(16=1,Assumptions!B77,0)</f>
        <v/>
      </c>
      <c r="R114" s="18">
        <f>IF(17=1,Assumptions!B77,0)</f>
        <v/>
      </c>
      <c r="S114" s="18">
        <f>IF(18=1,Assumptions!B77,0)</f>
        <v/>
      </c>
      <c r="T114" s="18">
        <f>IF(19=1,Assumptions!B77,0)</f>
        <v/>
      </c>
      <c r="U114" s="18">
        <f>IF(20=1,Assumptions!B77,0)</f>
        <v/>
      </c>
      <c r="V114" s="18">
        <f>IF(21=1,Assumptions!B77,0)</f>
        <v/>
      </c>
      <c r="W114" s="18">
        <f>IF(22=1,Assumptions!B77,0)</f>
        <v/>
      </c>
      <c r="X114" s="18">
        <f>IF(23=1,Assumptions!B77,0)</f>
        <v/>
      </c>
      <c r="Y114" s="18">
        <f>IF(24=1,Assumptions!B77,0)</f>
        <v/>
      </c>
      <c r="Z114" s="18">
        <f>SUM(B114:Y114)</f>
        <v/>
      </c>
    </row>
    <row r="115">
      <c r="A115" s="17" t="inlineStr">
        <is>
          <t xml:space="preserve">  Space Buildout (M3)</t>
        </is>
      </c>
      <c r="B115" s="18">
        <f>IF(1=3,Assumptions!B78,0)</f>
        <v/>
      </c>
      <c r="C115" s="18">
        <f>IF(2=3,Assumptions!B78,0)</f>
        <v/>
      </c>
      <c r="D115" s="18">
        <f>IF(3=3,Assumptions!B78,0)</f>
        <v/>
      </c>
      <c r="E115" s="18">
        <f>IF(4=3,Assumptions!B78,0)</f>
        <v/>
      </c>
      <c r="F115" s="18">
        <f>IF(5=3,Assumptions!B78,0)</f>
        <v/>
      </c>
      <c r="G115" s="18">
        <f>IF(6=3,Assumptions!B78,0)</f>
        <v/>
      </c>
      <c r="H115" s="18">
        <f>IF(7=3,Assumptions!B78,0)</f>
        <v/>
      </c>
      <c r="I115" s="18">
        <f>IF(8=3,Assumptions!B78,0)</f>
        <v/>
      </c>
      <c r="J115" s="18">
        <f>IF(9=3,Assumptions!B78,0)</f>
        <v/>
      </c>
      <c r="K115" s="18">
        <f>IF(10=3,Assumptions!B78,0)</f>
        <v/>
      </c>
      <c r="L115" s="18">
        <f>IF(11=3,Assumptions!B78,0)</f>
        <v/>
      </c>
      <c r="M115" s="18">
        <f>IF(12=3,Assumptions!B78,0)</f>
        <v/>
      </c>
      <c r="N115" s="18">
        <f>IF(13=3,Assumptions!B78,0)</f>
        <v/>
      </c>
      <c r="O115" s="18">
        <f>IF(14=3,Assumptions!B78,0)</f>
        <v/>
      </c>
      <c r="P115" s="18">
        <f>IF(15=3,Assumptions!B78,0)</f>
        <v/>
      </c>
      <c r="Q115" s="18">
        <f>IF(16=3,Assumptions!B78,0)</f>
        <v/>
      </c>
      <c r="R115" s="18">
        <f>IF(17=3,Assumptions!B78,0)</f>
        <v/>
      </c>
      <c r="S115" s="18">
        <f>IF(18=3,Assumptions!B78,0)</f>
        <v/>
      </c>
      <c r="T115" s="18">
        <f>IF(19=3,Assumptions!B78,0)</f>
        <v/>
      </c>
      <c r="U115" s="18">
        <f>IF(20=3,Assumptions!B78,0)</f>
        <v/>
      </c>
      <c r="V115" s="18">
        <f>IF(21=3,Assumptions!B78,0)</f>
        <v/>
      </c>
      <c r="W115" s="18">
        <f>IF(22=3,Assumptions!B78,0)</f>
        <v/>
      </c>
      <c r="X115" s="18">
        <f>IF(23=3,Assumptions!B78,0)</f>
        <v/>
      </c>
      <c r="Y115" s="18">
        <f>IF(24=3,Assumptions!B78,0)</f>
        <v/>
      </c>
      <c r="Z115" s="18">
        <f>SUM(B115:Y115)</f>
        <v/>
      </c>
    </row>
    <row r="116">
      <c r="A116" s="17" t="inlineStr">
        <is>
          <t xml:space="preserve">  Kitchen Equipment (M3)</t>
        </is>
      </c>
      <c r="B116" s="18">
        <f>IF(1=3,Assumptions!B79,0)</f>
        <v/>
      </c>
      <c r="C116" s="18">
        <f>IF(2=3,Assumptions!B79,0)</f>
        <v/>
      </c>
      <c r="D116" s="18">
        <f>IF(3=3,Assumptions!B79,0)</f>
        <v/>
      </c>
      <c r="E116" s="18">
        <f>IF(4=3,Assumptions!B79,0)</f>
        <v/>
      </c>
      <c r="F116" s="18">
        <f>IF(5=3,Assumptions!B79,0)</f>
        <v/>
      </c>
      <c r="G116" s="18">
        <f>IF(6=3,Assumptions!B79,0)</f>
        <v/>
      </c>
      <c r="H116" s="18">
        <f>IF(7=3,Assumptions!B79,0)</f>
        <v/>
      </c>
      <c r="I116" s="18">
        <f>IF(8=3,Assumptions!B79,0)</f>
        <v/>
      </c>
      <c r="J116" s="18">
        <f>IF(9=3,Assumptions!B79,0)</f>
        <v/>
      </c>
      <c r="K116" s="18">
        <f>IF(10=3,Assumptions!B79,0)</f>
        <v/>
      </c>
      <c r="L116" s="18">
        <f>IF(11=3,Assumptions!B79,0)</f>
        <v/>
      </c>
      <c r="M116" s="18">
        <f>IF(12=3,Assumptions!B79,0)</f>
        <v/>
      </c>
      <c r="N116" s="18">
        <f>IF(13=3,Assumptions!B79,0)</f>
        <v/>
      </c>
      <c r="O116" s="18">
        <f>IF(14=3,Assumptions!B79,0)</f>
        <v/>
      </c>
      <c r="P116" s="18">
        <f>IF(15=3,Assumptions!B79,0)</f>
        <v/>
      </c>
      <c r="Q116" s="18">
        <f>IF(16=3,Assumptions!B79,0)</f>
        <v/>
      </c>
      <c r="R116" s="18">
        <f>IF(17=3,Assumptions!B79,0)</f>
        <v/>
      </c>
      <c r="S116" s="18">
        <f>IF(18=3,Assumptions!B79,0)</f>
        <v/>
      </c>
      <c r="T116" s="18">
        <f>IF(19=3,Assumptions!B79,0)</f>
        <v/>
      </c>
      <c r="U116" s="18">
        <f>IF(20=3,Assumptions!B79,0)</f>
        <v/>
      </c>
      <c r="V116" s="18">
        <f>IF(21=3,Assumptions!B79,0)</f>
        <v/>
      </c>
      <c r="W116" s="18">
        <f>IF(22=3,Assumptions!B79,0)</f>
        <v/>
      </c>
      <c r="X116" s="18">
        <f>IF(23=3,Assumptions!B79,0)</f>
        <v/>
      </c>
      <c r="Y116" s="18">
        <f>IF(24=3,Assumptions!B79,0)</f>
        <v/>
      </c>
      <c r="Z116" s="18">
        <f>SUM(B116:Y116)</f>
        <v/>
      </c>
    </row>
    <row r="117">
      <c r="A117" s="17" t="inlineStr">
        <is>
          <t xml:space="preserve">  LED Devices (M3)</t>
        </is>
      </c>
      <c r="B117" s="18">
        <f>IF(1=3,Assumptions!B80,0)</f>
        <v/>
      </c>
      <c r="C117" s="18">
        <f>IF(2=3,Assumptions!B80,0)</f>
        <v/>
      </c>
      <c r="D117" s="18">
        <f>IF(3=3,Assumptions!B80,0)</f>
        <v/>
      </c>
      <c r="E117" s="18">
        <f>IF(4=3,Assumptions!B80,0)</f>
        <v/>
      </c>
      <c r="F117" s="18">
        <f>IF(5=3,Assumptions!B80,0)</f>
        <v/>
      </c>
      <c r="G117" s="18">
        <f>IF(6=3,Assumptions!B80,0)</f>
        <v/>
      </c>
      <c r="H117" s="18">
        <f>IF(7=3,Assumptions!B80,0)</f>
        <v/>
      </c>
      <c r="I117" s="18">
        <f>IF(8=3,Assumptions!B80,0)</f>
        <v/>
      </c>
      <c r="J117" s="18">
        <f>IF(9=3,Assumptions!B80,0)</f>
        <v/>
      </c>
      <c r="K117" s="18">
        <f>IF(10=3,Assumptions!B80,0)</f>
        <v/>
      </c>
      <c r="L117" s="18">
        <f>IF(11=3,Assumptions!B80,0)</f>
        <v/>
      </c>
      <c r="M117" s="18">
        <f>IF(12=3,Assumptions!B80,0)</f>
        <v/>
      </c>
      <c r="N117" s="18">
        <f>IF(13=3,Assumptions!B80,0)</f>
        <v/>
      </c>
      <c r="O117" s="18">
        <f>IF(14=3,Assumptions!B80,0)</f>
        <v/>
      </c>
      <c r="P117" s="18">
        <f>IF(15=3,Assumptions!B80,0)</f>
        <v/>
      </c>
      <c r="Q117" s="18">
        <f>IF(16=3,Assumptions!B80,0)</f>
        <v/>
      </c>
      <c r="R117" s="18">
        <f>IF(17=3,Assumptions!B80,0)</f>
        <v/>
      </c>
      <c r="S117" s="18">
        <f>IF(18=3,Assumptions!B80,0)</f>
        <v/>
      </c>
      <c r="T117" s="18">
        <f>IF(19=3,Assumptions!B80,0)</f>
        <v/>
      </c>
      <c r="U117" s="18">
        <f>IF(20=3,Assumptions!B80,0)</f>
        <v/>
      </c>
      <c r="V117" s="18">
        <f>IF(21=3,Assumptions!B80,0)</f>
        <v/>
      </c>
      <c r="W117" s="18">
        <f>IF(22=3,Assumptions!B80,0)</f>
        <v/>
      </c>
      <c r="X117" s="18">
        <f>IF(23=3,Assumptions!B80,0)</f>
        <v/>
      </c>
      <c r="Y117" s="18">
        <f>IF(24=3,Assumptions!B80,0)</f>
        <v/>
      </c>
      <c r="Z117" s="18">
        <f>SUM(B117:Y117)</f>
        <v/>
      </c>
    </row>
    <row r="118">
      <c r="A118" s="5" t="inlineStr">
        <is>
          <t xml:space="preserve">  Depreciation (linear / 36mo)</t>
        </is>
      </c>
      <c r="B118" s="6">
        <f>ROUND((Assumptions!B75+Assumptions!B76+Assumptions!B77)/Assumptions!B81,0)</f>
        <v/>
      </c>
      <c r="C118" s="6">
        <f>ROUND((Assumptions!B75+Assumptions!B76+Assumptions!B77)/Assumptions!B81,0)</f>
        <v/>
      </c>
      <c r="D118" s="6">
        <f>ROUND((Assumptions!B75+Assumptions!B76+Assumptions!B77+Assumptions!B78+Assumptions!B79+Assumptions!B80)/Assumptions!B81,0)</f>
        <v/>
      </c>
      <c r="E118" s="6">
        <f>ROUND((Assumptions!B75+Assumptions!B76+Assumptions!B77+Assumptions!B78+Assumptions!B79+Assumptions!B80)/Assumptions!B81,0)</f>
        <v/>
      </c>
      <c r="F118" s="6">
        <f>ROUND((Assumptions!B75+Assumptions!B76+Assumptions!B77+Assumptions!B78+Assumptions!B79+Assumptions!B80)/Assumptions!B81,0)</f>
        <v/>
      </c>
      <c r="G118" s="6">
        <f>ROUND((Assumptions!B75+Assumptions!B76+Assumptions!B77+Assumptions!B78+Assumptions!B79+Assumptions!B80)/Assumptions!B81,0)</f>
        <v/>
      </c>
      <c r="H118" s="6">
        <f>ROUND((Assumptions!B75+Assumptions!B76+Assumptions!B77+Assumptions!B78+Assumptions!B79+Assumptions!B80)/Assumptions!B81,0)</f>
        <v/>
      </c>
      <c r="I118" s="6">
        <f>ROUND((Assumptions!B75+Assumptions!B76+Assumptions!B77+Assumptions!B78+Assumptions!B79+Assumptions!B80)/Assumptions!B81,0)</f>
        <v/>
      </c>
      <c r="J118" s="6">
        <f>ROUND((Assumptions!B75+Assumptions!B76+Assumptions!B77+Assumptions!B78+Assumptions!B79+Assumptions!B80)/Assumptions!B81,0)</f>
        <v/>
      </c>
      <c r="K118" s="6">
        <f>ROUND((Assumptions!B75+Assumptions!B76+Assumptions!B77+Assumptions!B78+Assumptions!B79+Assumptions!B80)/Assumptions!B81,0)</f>
        <v/>
      </c>
      <c r="L118" s="6">
        <f>ROUND((Assumptions!B75+Assumptions!B76+Assumptions!B77+Assumptions!B78+Assumptions!B79+Assumptions!B80)/Assumptions!B81,0)</f>
        <v/>
      </c>
      <c r="M118" s="6">
        <f>ROUND((Assumptions!B75+Assumptions!B76+Assumptions!B77+Assumptions!B78+Assumptions!B79+Assumptions!B80)/Assumptions!B81,0)</f>
        <v/>
      </c>
      <c r="N118" s="6">
        <f>ROUND((Assumptions!B75+Assumptions!B76+Assumptions!B77+Assumptions!B78+Assumptions!B79+Assumptions!B80)/Assumptions!B81,0)</f>
        <v/>
      </c>
      <c r="O118" s="6">
        <f>ROUND((Assumptions!B75+Assumptions!B76+Assumptions!B77+Assumptions!B78+Assumptions!B79+Assumptions!B80)/Assumptions!B81,0)</f>
        <v/>
      </c>
      <c r="P118" s="6">
        <f>ROUND((Assumptions!B75+Assumptions!B76+Assumptions!B77+Assumptions!B78+Assumptions!B79+Assumptions!B80)/Assumptions!B81,0)</f>
        <v/>
      </c>
      <c r="Q118" s="6">
        <f>ROUND((Assumptions!B75+Assumptions!B76+Assumptions!B77+Assumptions!B78+Assumptions!B79+Assumptions!B80)/Assumptions!B81,0)</f>
        <v/>
      </c>
      <c r="R118" s="6">
        <f>ROUND((Assumptions!B75+Assumptions!B76+Assumptions!B77+Assumptions!B78+Assumptions!B79+Assumptions!B80)/Assumptions!B81,0)</f>
        <v/>
      </c>
      <c r="S118" s="6">
        <f>ROUND((Assumptions!B75+Assumptions!B76+Assumptions!B77+Assumptions!B78+Assumptions!B79+Assumptions!B80)/Assumptions!B81,0)</f>
        <v/>
      </c>
      <c r="T118" s="6">
        <f>ROUND((Assumptions!B75+Assumptions!B76+Assumptions!B77+Assumptions!B78+Assumptions!B79+Assumptions!B80)/Assumptions!B81,0)</f>
        <v/>
      </c>
      <c r="U118" s="6">
        <f>ROUND((Assumptions!B75+Assumptions!B76+Assumptions!B77+Assumptions!B78+Assumptions!B79+Assumptions!B80)/Assumptions!B81,0)</f>
        <v/>
      </c>
      <c r="V118" s="6">
        <f>ROUND((Assumptions!B75+Assumptions!B76+Assumptions!B77+Assumptions!B78+Assumptions!B79+Assumptions!B80)/Assumptions!B81,0)</f>
        <v/>
      </c>
      <c r="W118" s="6">
        <f>ROUND((Assumptions!B75+Assumptions!B76+Assumptions!B77+Assumptions!B78+Assumptions!B79+Assumptions!B80)/Assumptions!B81,0)</f>
        <v/>
      </c>
      <c r="X118" s="6">
        <f>ROUND((Assumptions!B75+Assumptions!B76+Assumptions!B77+Assumptions!B78+Assumptions!B79+Assumptions!B80)/Assumptions!B81,0)</f>
        <v/>
      </c>
      <c r="Y118" s="6">
        <f>ROUND((Assumptions!B75+Assumptions!B76+Assumptions!B77+Assumptions!B78+Assumptions!B79+Assumptions!B80)/Assumptions!B81,0)</f>
        <v/>
      </c>
      <c r="Z118" s="6">
        <f>SUM(B118:Y118)</f>
        <v/>
      </c>
    </row>
    <row r="120">
      <c r="A120" s="21" t="inlineStr">
        <is>
          <t>TOTAL CAPEX (cash)</t>
        </is>
      </c>
      <c r="B120" s="22">
        <f>B112+B113+B114+B115+B116+B117</f>
        <v/>
      </c>
      <c r="C120" s="22">
        <f>C112+C113+C114+C115+C116+C117</f>
        <v/>
      </c>
      <c r="D120" s="22">
        <f>D112+D113+D114+D115+D116+D117</f>
        <v/>
      </c>
      <c r="E120" s="22">
        <f>E112+E113+E114+E115+E116+E117</f>
        <v/>
      </c>
      <c r="F120" s="22">
        <f>F112+F113+F114+F115+F116+F117</f>
        <v/>
      </c>
      <c r="G120" s="22">
        <f>G112+G113+G114+G115+G116+G117</f>
        <v/>
      </c>
      <c r="H120" s="22">
        <f>H112+H113+H114+H115+H116+H117</f>
        <v/>
      </c>
      <c r="I120" s="22">
        <f>I112+I113+I114+I115+I116+I117</f>
        <v/>
      </c>
      <c r="J120" s="22">
        <f>J112+J113+J114+J115+J116+J117</f>
        <v/>
      </c>
      <c r="K120" s="22">
        <f>K112+K113+K114+K115+K116+K117</f>
        <v/>
      </c>
      <c r="L120" s="22">
        <f>L112+L113+L114+L115+L116+L117</f>
        <v/>
      </c>
      <c r="M120" s="22">
        <f>M112+M113+M114+M115+M116+M117</f>
        <v/>
      </c>
      <c r="N120" s="22">
        <f>N112+N113+N114+N115+N116+N117</f>
        <v/>
      </c>
      <c r="O120" s="22">
        <f>O112+O113+O114+O115+O116+O117</f>
        <v/>
      </c>
      <c r="P120" s="22">
        <f>P112+P113+P114+P115+P116+P117</f>
        <v/>
      </c>
      <c r="Q120" s="22">
        <f>Q112+Q113+Q114+Q115+Q116+Q117</f>
        <v/>
      </c>
      <c r="R120" s="22">
        <f>R112+R113+R114+R115+R116+R117</f>
        <v/>
      </c>
      <c r="S120" s="22">
        <f>S112+S113+S114+S115+S116+S117</f>
        <v/>
      </c>
      <c r="T120" s="22">
        <f>T112+T113+T114+T115+T116+T117</f>
        <v/>
      </c>
      <c r="U120" s="22">
        <f>U112+U113+U114+U115+U116+U117</f>
        <v/>
      </c>
      <c r="V120" s="22">
        <f>V112+V113+V114+V115+V116+V117</f>
        <v/>
      </c>
      <c r="W120" s="22">
        <f>W112+W113+W114+W115+W116+W117</f>
        <v/>
      </c>
      <c r="X120" s="22">
        <f>X112+X113+X114+X115+X116+X117</f>
        <v/>
      </c>
      <c r="Y120" s="22">
        <f>Y112+Y113+Y114+Y115+Y116+Y117</f>
        <v/>
      </c>
      <c r="Z120" s="22">
        <f>SUM(B120:Y120)</f>
        <v/>
      </c>
    </row>
    <row r="122">
      <c r="A122" s="21" t="inlineStr">
        <is>
          <t>NET P&amp;L (EBITDA - CapEx)</t>
        </is>
      </c>
      <c r="B122" s="22">
        <f>B109-B120</f>
        <v/>
      </c>
      <c r="C122" s="22">
        <f>C109-C120</f>
        <v/>
      </c>
      <c r="D122" s="22">
        <f>D109-D120</f>
        <v/>
      </c>
      <c r="E122" s="22">
        <f>E109-E120</f>
        <v/>
      </c>
      <c r="F122" s="22">
        <f>F109-F120</f>
        <v/>
      </c>
      <c r="G122" s="22">
        <f>G109-G120</f>
        <v/>
      </c>
      <c r="H122" s="22">
        <f>H109-H120</f>
        <v/>
      </c>
      <c r="I122" s="22">
        <f>I109-I120</f>
        <v/>
      </c>
      <c r="J122" s="22">
        <f>J109-J120</f>
        <v/>
      </c>
      <c r="K122" s="22">
        <f>K109-K120</f>
        <v/>
      </c>
      <c r="L122" s="22">
        <f>L109-L120</f>
        <v/>
      </c>
      <c r="M122" s="22">
        <f>M109-M120</f>
        <v/>
      </c>
      <c r="N122" s="22">
        <f>N109-N120</f>
        <v/>
      </c>
      <c r="O122" s="22">
        <f>O109-O120</f>
        <v/>
      </c>
      <c r="P122" s="22">
        <f>P109-P120</f>
        <v/>
      </c>
      <c r="Q122" s="22">
        <f>Q109-Q120</f>
        <v/>
      </c>
      <c r="R122" s="22">
        <f>R109-R120</f>
        <v/>
      </c>
      <c r="S122" s="22">
        <f>S109-S120</f>
        <v/>
      </c>
      <c r="T122" s="22">
        <f>T109-T120</f>
        <v/>
      </c>
      <c r="U122" s="22">
        <f>U109-U120</f>
        <v/>
      </c>
      <c r="V122" s="22">
        <f>V109-V120</f>
        <v/>
      </c>
      <c r="W122" s="22">
        <f>W109-W120</f>
        <v/>
      </c>
      <c r="X122" s="22">
        <f>X109-X120</f>
        <v/>
      </c>
      <c r="Y122" s="22">
        <f>Y109-Y120</f>
        <v/>
      </c>
      <c r="Z122" s="22">
        <f>SUM(B122:Y122)</f>
        <v/>
      </c>
    </row>
    <row r="123">
      <c r="A123" s="7" t="inlineStr">
        <is>
          <t>Cumulative Cash (EUR 500K start)</t>
        </is>
      </c>
      <c r="B123" s="8">
        <f>500000+B122</f>
        <v/>
      </c>
      <c r="C123" s="8">
        <f>B123+C122</f>
        <v/>
      </c>
      <c r="D123" s="8">
        <f>C123+D122</f>
        <v/>
      </c>
      <c r="E123" s="8">
        <f>D123+E122</f>
        <v/>
      </c>
      <c r="F123" s="8">
        <f>E123+F122</f>
        <v/>
      </c>
      <c r="G123" s="8">
        <f>F123+G122</f>
        <v/>
      </c>
      <c r="H123" s="8">
        <f>G123+H122</f>
        <v/>
      </c>
      <c r="I123" s="8">
        <f>H123+I122</f>
        <v/>
      </c>
      <c r="J123" s="8">
        <f>I123+J122</f>
        <v/>
      </c>
      <c r="K123" s="8">
        <f>J123+K122</f>
        <v/>
      </c>
      <c r="L123" s="8">
        <f>K123+L122</f>
        <v/>
      </c>
      <c r="M123" s="8">
        <f>L123+M122</f>
        <v/>
      </c>
      <c r="N123" s="8">
        <f>M123+N122</f>
        <v/>
      </c>
      <c r="O123" s="8">
        <f>N123+O122</f>
        <v/>
      </c>
      <c r="P123" s="8">
        <f>O123+P122</f>
        <v/>
      </c>
      <c r="Q123" s="8">
        <f>P123+Q122</f>
        <v/>
      </c>
      <c r="R123" s="8">
        <f>Q123+R122</f>
        <v/>
      </c>
      <c r="S123" s="8">
        <f>R123+S122</f>
        <v/>
      </c>
      <c r="T123" s="8">
        <f>S123+T122</f>
        <v/>
      </c>
      <c r="U123" s="8">
        <f>T123+U122</f>
        <v/>
      </c>
      <c r="V123" s="8">
        <f>U123+V122</f>
        <v/>
      </c>
      <c r="W123" s="8">
        <f>V123+W122</f>
        <v/>
      </c>
      <c r="X123" s="8">
        <f>W123+X122</f>
        <v/>
      </c>
      <c r="Y123" s="8">
        <f>X123+Y122</f>
        <v/>
      </c>
      <c r="Z123" s="24">
        <f>Y123</f>
        <v/>
      </c>
    </row>
    <row r="125">
      <c r="A125" s="4" t="inlineStr">
        <is>
          <t>KEY METRICS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5" t="inlineStr">
        <is>
          <t xml:space="preserve">  Monthly Burn (if loss)</t>
        </is>
      </c>
      <c r="B126" s="6">
        <f>IF(B122&lt;0,ABS(B122),0)</f>
        <v/>
      </c>
      <c r="C126" s="6">
        <f>IF(C122&lt;0,ABS(C122),0)</f>
        <v/>
      </c>
      <c r="D126" s="6">
        <f>IF(D122&lt;0,ABS(D122),0)</f>
        <v/>
      </c>
      <c r="E126" s="6">
        <f>IF(E122&lt;0,ABS(E122),0)</f>
        <v/>
      </c>
      <c r="F126" s="6">
        <f>IF(F122&lt;0,ABS(F122),0)</f>
        <v/>
      </c>
      <c r="G126" s="6">
        <f>IF(G122&lt;0,ABS(G122),0)</f>
        <v/>
      </c>
      <c r="H126" s="6">
        <f>IF(H122&lt;0,ABS(H122),0)</f>
        <v/>
      </c>
      <c r="I126" s="6">
        <f>IF(I122&lt;0,ABS(I122),0)</f>
        <v/>
      </c>
      <c r="J126" s="6">
        <f>IF(J122&lt;0,ABS(J122),0)</f>
        <v/>
      </c>
      <c r="K126" s="6">
        <f>IF(K122&lt;0,ABS(K122),0)</f>
        <v/>
      </c>
      <c r="L126" s="6">
        <f>IF(L122&lt;0,ABS(L122),0)</f>
        <v/>
      </c>
      <c r="M126" s="6">
        <f>IF(M122&lt;0,ABS(M122),0)</f>
        <v/>
      </c>
      <c r="N126" s="6">
        <f>IF(N122&lt;0,ABS(N122),0)</f>
        <v/>
      </c>
      <c r="O126" s="6">
        <f>IF(O122&lt;0,ABS(O122),0)</f>
        <v/>
      </c>
      <c r="P126" s="6">
        <f>IF(P122&lt;0,ABS(P122),0)</f>
        <v/>
      </c>
      <c r="Q126" s="6">
        <f>IF(Q122&lt;0,ABS(Q122),0)</f>
        <v/>
      </c>
      <c r="R126" s="6">
        <f>IF(R122&lt;0,ABS(R122),0)</f>
        <v/>
      </c>
      <c r="S126" s="6">
        <f>IF(S122&lt;0,ABS(S122),0)</f>
        <v/>
      </c>
      <c r="T126" s="6">
        <f>IF(T122&lt;0,ABS(T122),0)</f>
        <v/>
      </c>
      <c r="U126" s="6">
        <f>IF(U122&lt;0,ABS(U122),0)</f>
        <v/>
      </c>
      <c r="V126" s="6">
        <f>IF(V122&lt;0,ABS(V122),0)</f>
        <v/>
      </c>
      <c r="W126" s="6">
        <f>IF(W122&lt;0,ABS(W122),0)</f>
        <v/>
      </c>
      <c r="X126" s="6">
        <f>IF(X122&lt;0,ABS(X122),0)</f>
        <v/>
      </c>
      <c r="Y126" s="6">
        <f>IF(Y122&lt;0,ABS(Y122),0)</f>
        <v/>
      </c>
      <c r="Z126" s="6">
        <f>SUM(B126:Y126)</f>
        <v/>
      </c>
    </row>
    <row r="127">
      <c r="A127" s="5" t="inlineStr">
        <is>
          <t xml:space="preserve">  Revenue / Subscriber</t>
        </is>
      </c>
      <c r="B127" s="25">
        <f>IF('Growth Curves'!B16&gt;0,ROUND(B43/'Growth Curves'!B16,2),0)</f>
        <v/>
      </c>
      <c r="C127" s="25">
        <f>IF('Growth Curves'!C16&gt;0,ROUND(C43/'Growth Curves'!C16,2),0)</f>
        <v/>
      </c>
      <c r="D127" s="25">
        <f>IF('Growth Curves'!D16&gt;0,ROUND(D43/'Growth Curves'!D16,2),0)</f>
        <v/>
      </c>
      <c r="E127" s="25">
        <f>IF('Growth Curves'!E16&gt;0,ROUND(E43/'Growth Curves'!E16,2),0)</f>
        <v/>
      </c>
      <c r="F127" s="25">
        <f>IF('Growth Curves'!F16&gt;0,ROUND(F43/'Growth Curves'!F16,2),0)</f>
        <v/>
      </c>
      <c r="G127" s="25">
        <f>IF('Growth Curves'!G16&gt;0,ROUND(G43/'Growth Curves'!G16,2),0)</f>
        <v/>
      </c>
      <c r="H127" s="25">
        <f>IF('Growth Curves'!H16&gt;0,ROUND(H43/'Growth Curves'!H16,2),0)</f>
        <v/>
      </c>
      <c r="I127" s="25">
        <f>IF('Growth Curves'!I16&gt;0,ROUND(I43/'Growth Curves'!I16,2),0)</f>
        <v/>
      </c>
      <c r="J127" s="25">
        <f>IF('Growth Curves'!J16&gt;0,ROUND(J43/'Growth Curves'!J16,2),0)</f>
        <v/>
      </c>
      <c r="K127" s="25">
        <f>IF('Growth Curves'!K16&gt;0,ROUND(K43/'Growth Curves'!K16,2),0)</f>
        <v/>
      </c>
      <c r="L127" s="25">
        <f>IF('Growth Curves'!L16&gt;0,ROUND(L43/'Growth Curves'!L16,2),0)</f>
        <v/>
      </c>
      <c r="M127" s="25">
        <f>IF('Growth Curves'!M16&gt;0,ROUND(M43/'Growth Curves'!M16,2),0)</f>
        <v/>
      </c>
      <c r="N127" s="25">
        <f>IF('Growth Curves'!N16&gt;0,ROUND(N43/'Growth Curves'!N16,2),0)</f>
        <v/>
      </c>
      <c r="O127" s="25">
        <f>IF('Growth Curves'!O16&gt;0,ROUND(O43/'Growth Curves'!O16,2),0)</f>
        <v/>
      </c>
      <c r="P127" s="25">
        <f>IF('Growth Curves'!P16&gt;0,ROUND(P43/'Growth Curves'!P16,2),0)</f>
        <v/>
      </c>
      <c r="Q127" s="25">
        <f>IF('Growth Curves'!Q16&gt;0,ROUND(Q43/'Growth Curves'!Q16,2),0)</f>
        <v/>
      </c>
      <c r="R127" s="25">
        <f>IF('Growth Curves'!R16&gt;0,ROUND(R43/'Growth Curves'!R16,2),0)</f>
        <v/>
      </c>
      <c r="S127" s="25">
        <f>IF('Growth Curves'!S16&gt;0,ROUND(S43/'Growth Curves'!S16,2),0)</f>
        <v/>
      </c>
      <c r="T127" s="25">
        <f>IF('Growth Curves'!T16&gt;0,ROUND(T43/'Growth Curves'!T16,2),0)</f>
        <v/>
      </c>
      <c r="U127" s="25">
        <f>IF('Growth Curves'!U16&gt;0,ROUND(U43/'Growth Curves'!U16,2),0)</f>
        <v/>
      </c>
      <c r="V127" s="25">
        <f>IF('Growth Curves'!V16&gt;0,ROUND(V43/'Growth Curves'!V16,2),0)</f>
        <v/>
      </c>
      <c r="W127" s="25">
        <f>IF('Growth Curves'!W16&gt;0,ROUND(W43/'Growth Curves'!W16,2),0)</f>
        <v/>
      </c>
      <c r="X127" s="25">
        <f>IF('Growth Curves'!X16&gt;0,ROUND(X43/'Growth Curves'!X16,2),0)</f>
        <v/>
      </c>
      <c r="Y127" s="25">
        <f>IF('Growth Curves'!Y16&gt;0,ROUND(Y43/'Growth Curves'!Y16,2),0)</f>
        <v/>
      </c>
      <c r="Z127" s="25">
        <f>SUM(B127:Y127)</f>
        <v/>
      </c>
    </row>
    <row r="128">
      <c r="A128" s="5" t="inlineStr">
        <is>
          <t xml:space="preserve">  Subscription MRR</t>
        </is>
      </c>
      <c r="B128" s="6">
        <f>B41</f>
        <v/>
      </c>
      <c r="C128" s="6">
        <f>C41</f>
        <v/>
      </c>
      <c r="D128" s="6">
        <f>D41</f>
        <v/>
      </c>
      <c r="E128" s="6">
        <f>E41</f>
        <v/>
      </c>
      <c r="F128" s="6">
        <f>F41</f>
        <v/>
      </c>
      <c r="G128" s="6">
        <f>G41</f>
        <v/>
      </c>
      <c r="H128" s="6">
        <f>H41</f>
        <v/>
      </c>
      <c r="I128" s="6">
        <f>I41</f>
        <v/>
      </c>
      <c r="J128" s="6">
        <f>J41</f>
        <v/>
      </c>
      <c r="K128" s="6">
        <f>K41</f>
        <v/>
      </c>
      <c r="L128" s="6">
        <f>L41</f>
        <v/>
      </c>
      <c r="M128" s="6">
        <f>M41</f>
        <v/>
      </c>
      <c r="N128" s="6">
        <f>N41</f>
        <v/>
      </c>
      <c r="O128" s="6">
        <f>O41</f>
        <v/>
      </c>
      <c r="P128" s="6">
        <f>P41</f>
        <v/>
      </c>
      <c r="Q128" s="6">
        <f>Q41</f>
        <v/>
      </c>
      <c r="R128" s="6">
        <f>R41</f>
        <v/>
      </c>
      <c r="S128" s="6">
        <f>S41</f>
        <v/>
      </c>
      <c r="T128" s="6">
        <f>T41</f>
        <v/>
      </c>
      <c r="U128" s="6">
        <f>U41</f>
        <v/>
      </c>
      <c r="V128" s="6">
        <f>V41</f>
        <v/>
      </c>
      <c r="W128" s="6">
        <f>W41</f>
        <v/>
      </c>
      <c r="X128" s="6">
        <f>X41</f>
        <v/>
      </c>
      <c r="Y128" s="6">
        <f>Y41</f>
        <v/>
      </c>
      <c r="Z128" s="6">
        <f>SUM(B128:Y128)</f>
        <v/>
      </c>
    </row>
    <row r="129">
      <c r="A129" s="5" t="inlineStr">
        <is>
          <t xml:space="preserve">  Gross Margin %</t>
        </is>
      </c>
      <c r="B129" s="23">
        <f>B62</f>
        <v/>
      </c>
      <c r="C129" s="23">
        <f>C62</f>
        <v/>
      </c>
      <c r="D129" s="23">
        <f>D62</f>
        <v/>
      </c>
      <c r="E129" s="23">
        <f>E62</f>
        <v/>
      </c>
      <c r="F129" s="23">
        <f>F62</f>
        <v/>
      </c>
      <c r="G129" s="23">
        <f>G62</f>
        <v/>
      </c>
      <c r="H129" s="23">
        <f>H62</f>
        <v/>
      </c>
      <c r="I129" s="23">
        <f>I62</f>
        <v/>
      </c>
      <c r="J129" s="23">
        <f>J62</f>
        <v/>
      </c>
      <c r="K129" s="23">
        <f>K62</f>
        <v/>
      </c>
      <c r="L129" s="23">
        <f>L62</f>
        <v/>
      </c>
      <c r="M129" s="23">
        <f>M62</f>
        <v/>
      </c>
      <c r="N129" s="23">
        <f>N62</f>
        <v/>
      </c>
      <c r="O129" s="23">
        <f>O62</f>
        <v/>
      </c>
      <c r="P129" s="23">
        <f>P62</f>
        <v/>
      </c>
      <c r="Q129" s="23">
        <f>Q62</f>
        <v/>
      </c>
      <c r="R129" s="23">
        <f>R62</f>
        <v/>
      </c>
      <c r="S129" s="23">
        <f>S62</f>
        <v/>
      </c>
      <c r="T129" s="23">
        <f>T62</f>
        <v/>
      </c>
      <c r="U129" s="23">
        <f>U62</f>
        <v/>
      </c>
      <c r="V129" s="23">
        <f>V62</f>
        <v/>
      </c>
      <c r="W129" s="23">
        <f>W62</f>
        <v/>
      </c>
      <c r="X129" s="23">
        <f>X62</f>
        <v/>
      </c>
      <c r="Y129" s="23">
        <f>Y62</f>
        <v/>
      </c>
      <c r="Z129" s="23">
        <f>Z62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9E7C"/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</cols>
  <sheetData>
    <row r="1">
      <c r="A1" s="1" t="inlineStr">
        <is>
          <t>alche — P&amp;L Assumptions</t>
        </is>
      </c>
    </row>
    <row r="2">
      <c r="A2" s="2" t="inlineStr">
        <is>
          <t>Change any value here → P&amp;L sheet auto-recalculates</t>
        </is>
      </c>
    </row>
    <row r="4">
      <c r="A4" s="9" t="inlineStr">
        <is>
          <t>SUBSCRIPTION MODEL</t>
        </is>
      </c>
      <c r="B4" s="26" t="n"/>
      <c r="C4" s="26" t="n"/>
    </row>
    <row r="5">
      <c r="A5" s="27" t="inlineStr">
        <is>
          <t>Core tier price (EUR/mo)</t>
        </is>
      </c>
      <c r="B5" s="28" t="n">
        <v>19</v>
      </c>
      <c r="C5" s="2" t="inlineStr">
        <is>
          <t>Entry tier</t>
        </is>
      </c>
    </row>
    <row r="6">
      <c r="A6" s="27" t="inlineStr">
        <is>
          <t>Pro tier price (EUR/mo)</t>
        </is>
      </c>
      <c r="B6" s="28" t="n">
        <v>49</v>
      </c>
      <c r="C6" s="2" t="inlineStr">
        <is>
          <t>Sweet spot</t>
        </is>
      </c>
    </row>
    <row r="7">
      <c r="A7" s="27" t="inlineStr">
        <is>
          <t>Premium tier price (EUR/mo)</t>
        </is>
      </c>
      <c r="B7" s="28" t="n">
        <v>99</v>
      </c>
      <c r="C7" s="2" t="inlineStr">
        <is>
          <t>Highest ARPU</t>
        </is>
      </c>
    </row>
    <row r="8">
      <c r="A8" s="27" t="inlineStr">
        <is>
          <t>Monthly churn rate</t>
        </is>
      </c>
      <c r="B8" s="29" t="n">
        <v>0.08</v>
      </c>
      <c r="C8" s="2" t="inlineStr">
        <is>
          <t>8% — locked data</t>
        </is>
      </c>
    </row>
    <row r="9">
      <c r="A9" s="27" t="inlineStr">
        <is>
          <t>Core tier share</t>
        </is>
      </c>
      <c r="B9" s="29" t="n">
        <v>0.52</v>
      </c>
      <c r="C9" s="2" t="inlineStr">
        <is>
          <t>52%</t>
        </is>
      </c>
    </row>
    <row r="10">
      <c r="A10" s="27" t="inlineStr">
        <is>
          <t>Pro tier share</t>
        </is>
      </c>
      <c r="B10" s="29" t="n">
        <v>0.38</v>
      </c>
      <c r="C10" s="2" t="inlineStr">
        <is>
          <t>38%</t>
        </is>
      </c>
    </row>
    <row r="11">
      <c r="A11" s="27" t="inlineStr">
        <is>
          <t>Premium tier share</t>
        </is>
      </c>
      <c r="B11" s="29" t="n">
        <v>0.1</v>
      </c>
      <c r="C11" s="2" t="inlineStr">
        <is>
          <t>10%</t>
        </is>
      </c>
    </row>
    <row r="13">
      <c r="A13" s="9" t="inlineStr">
        <is>
          <t>SUBSCRIBER GROWTH (new subs/month)</t>
        </is>
      </c>
      <c r="B13" s="26" t="n"/>
      <c r="C13" s="26" t="n"/>
    </row>
    <row r="14">
      <c r="A14" s="27" t="inlineStr">
        <is>
          <t>M1-M3</t>
        </is>
      </c>
      <c r="B14" s="28" t="n">
        <v>3</v>
      </c>
      <c r="C14" s="2" t="inlineStr">
        <is>
          <t>Pre-launch beta</t>
        </is>
      </c>
    </row>
    <row r="15">
      <c r="A15" s="27" t="inlineStr">
        <is>
          <t>M4-M6</t>
        </is>
      </c>
      <c r="B15" s="28" t="n">
        <v>15</v>
      </c>
      <c r="C15" s="2" t="inlineStr">
        <is>
          <t>Product launch</t>
        </is>
      </c>
    </row>
    <row r="16">
      <c r="A16" s="27" t="inlineStr">
        <is>
          <t>M7-M9</t>
        </is>
      </c>
      <c r="B16" s="28" t="n">
        <v>22</v>
      </c>
      <c r="C16" s="2" t="inlineStr">
        <is>
          <t>Growth acceleration</t>
        </is>
      </c>
    </row>
    <row r="17">
      <c r="A17" s="27" t="inlineStr">
        <is>
          <t>M10-M12</t>
        </is>
      </c>
      <c r="B17" s="28" t="n">
        <v>28</v>
      </c>
      <c r="C17" s="2" t="inlineStr">
        <is>
          <t>Marketing ramp</t>
        </is>
      </c>
    </row>
    <row r="18">
      <c r="A18" s="27" t="inlineStr">
        <is>
          <t>M13-M18</t>
        </is>
      </c>
      <c r="B18" s="28" t="n">
        <v>32</v>
      </c>
      <c r="C18" s="2" t="inlineStr">
        <is>
          <t>Scaling</t>
        </is>
      </c>
    </row>
    <row r="19">
      <c r="A19" s="27" t="inlineStr">
        <is>
          <t>M19-M24</t>
        </is>
      </c>
      <c r="B19" s="28" t="n">
        <v>38</v>
      </c>
      <c r="C19" s="2" t="inlineStr">
        <is>
          <t>Growth marketer effect</t>
        </is>
      </c>
    </row>
    <row r="21">
      <c r="A21" s="9" t="inlineStr">
        <is>
          <t>PRODUCT PRICING</t>
        </is>
      </c>
      <c r="B21" s="26" t="n"/>
      <c r="C21" s="26" t="n"/>
    </row>
    <row r="22">
      <c r="A22" s="27" t="inlineStr">
        <is>
          <t>Potion retail price (EUR)</t>
        </is>
      </c>
      <c r="B22" s="28" t="n">
        <v>49</v>
      </c>
      <c r="C22" s="2" t="inlineStr">
        <is>
          <t>R10 validated</t>
        </is>
      </c>
    </row>
    <row r="23">
      <c r="A23" s="27" t="inlineStr">
        <is>
          <t>Potion COGS (EUR/unit)</t>
        </is>
      </c>
      <c r="B23" s="28" t="n">
        <v>23.5</v>
      </c>
      <c r="C23" s="2" t="inlineStr">
        <is>
          <t>R10: wholesale 48% of retail</t>
        </is>
      </c>
    </row>
    <row r="24">
      <c r="A24" s="27" t="inlineStr">
        <is>
          <t>LED session price (EUR)</t>
        </is>
      </c>
      <c r="B24" s="28" t="n">
        <v>45</v>
      </c>
      <c r="C24" s="2" t="inlineStr">
        <is>
          <t>Red light therapy</t>
        </is>
      </c>
    </row>
    <row r="25">
      <c r="A25" s="27" t="inlineStr">
        <is>
          <t>LED practitioner cost (EUR)</t>
        </is>
      </c>
      <c r="B25" s="28" t="n">
        <v>25</v>
      </c>
      <c r="C25" s="2" t="inlineStr">
        <is>
          <t>Per session</t>
        </is>
      </c>
    </row>
    <row r="26">
      <c r="A26" s="27" t="inlineStr">
        <is>
          <t>Smoothie avg price (EUR)</t>
        </is>
      </c>
      <c r="B26" s="28" t="n">
        <v>9.67</v>
      </c>
      <c r="C26" s="2" t="inlineStr">
        <is>
          <t>R2 Cost Analysis PDF</t>
        </is>
      </c>
    </row>
    <row r="27">
      <c r="A27" s="27" t="inlineStr">
        <is>
          <t>Smoothie COGS rate</t>
        </is>
      </c>
      <c r="B27" s="29" t="n">
        <v>0.35</v>
      </c>
      <c r="C27" s="2" t="inlineStr">
        <is>
          <t>35% ingredients+packaging (R2)</t>
        </is>
      </c>
    </row>
    <row r="28">
      <c r="A28" s="27" t="inlineStr">
        <is>
          <t>Event ticket price (EUR)</t>
        </is>
      </c>
      <c r="B28" s="28" t="n">
        <v>35</v>
      </c>
      <c r="C28" s="2" t="inlineStr">
        <is>
          <t>Community events</t>
        </is>
      </c>
    </row>
    <row r="29">
      <c r="A29" s="27" t="inlineStr">
        <is>
          <t>Event fixed cost (EUR)</t>
        </is>
      </c>
      <c r="B29" s="28" t="n">
        <v>250</v>
      </c>
      <c r="C29" s="2" t="inlineStr">
        <is>
          <t>Venue per event</t>
        </is>
      </c>
    </row>
    <row r="30">
      <c r="A30" s="27" t="inlineStr">
        <is>
          <t>Ticketing platform fee</t>
        </is>
      </c>
      <c r="B30" s="29" t="n">
        <v>0.07000000000000001</v>
      </c>
      <c r="C30" s="2" t="inlineStr">
        <is>
          <t>7% Luma/Eventbrite</t>
        </is>
      </c>
    </row>
    <row r="31">
      <c r="A31" s="27" t="inlineStr">
        <is>
          <t>Doctor SaaS fee (EUR/mo)</t>
        </is>
      </c>
      <c r="B31" s="28" t="n">
        <v>99</v>
      </c>
      <c r="C31" s="2" t="inlineStr">
        <is>
          <t>D1: was EUR 150</t>
        </is>
      </c>
    </row>
    <row r="32">
      <c r="A32" s="27" t="inlineStr">
        <is>
          <t>Doctor verify cost (EUR)</t>
        </is>
      </c>
      <c r="B32" s="28" t="n">
        <v>25</v>
      </c>
      <c r="C32" s="2" t="inlineStr">
        <is>
          <t>Per new doctor</t>
        </is>
      </c>
    </row>
    <row r="33">
      <c r="A33" s="27" t="inlineStr">
        <is>
          <t>Doctor max clinics</t>
        </is>
      </c>
      <c r="B33" s="28" t="n">
        <v>20</v>
      </c>
      <c r="C33" s="2" t="inlineStr">
        <is>
          <t>D1: cap for M1-24</t>
        </is>
      </c>
    </row>
    <row r="35">
      <c r="A35" s="9" t="inlineStr">
        <is>
          <t>COST RATES</t>
        </is>
      </c>
      <c r="B35" s="26" t="n"/>
      <c r="C35" s="26" t="n"/>
    </row>
    <row r="36">
      <c r="A36" s="27" t="inlineStr">
        <is>
          <t>Waste — blended rate</t>
        </is>
      </c>
      <c r="B36" s="30" t="n">
        <v>0.055</v>
      </c>
      <c r="C36" s="2" t="inlineStr">
        <is>
          <t>D7: capsules 4%, powders 7%</t>
        </is>
      </c>
    </row>
    <row r="37">
      <c r="A37" s="27" t="inlineStr">
        <is>
          <t>3PL fulfillment (EUR/unit)</t>
        </is>
      </c>
      <c r="B37" s="28" t="n">
        <v>2.5</v>
      </c>
      <c r="C37" s="2" t="inlineStr">
        <is>
          <t>Potions only</t>
        </is>
      </c>
    </row>
    <row r="38">
      <c r="A38" s="27" t="inlineStr">
        <is>
          <t>Stripe fee rate</t>
        </is>
      </c>
      <c r="B38" s="30" t="n">
        <v>0.029</v>
      </c>
      <c r="C38" s="2" t="inlineStr">
        <is>
          <t>2.9%</t>
        </is>
      </c>
    </row>
    <row r="39">
      <c r="A39" s="27" t="inlineStr">
        <is>
          <t>AI API per user (EUR/mo)</t>
        </is>
      </c>
      <c r="B39" s="28" t="n">
        <v>0.35</v>
      </c>
      <c r="C39" s="2" t="inlineStr">
        <is>
          <t>D6: hybrid Claude+Gemini R9</t>
        </is>
      </c>
    </row>
    <row r="40">
      <c r="A40" s="27" t="inlineStr">
        <is>
          <t>Refund/returns reserve</t>
        </is>
      </c>
      <c r="B40" s="30" t="n">
        <v>0.015</v>
      </c>
      <c r="C40" s="2" t="inlineStr">
        <is>
          <t>1.5% of product revenue</t>
        </is>
      </c>
    </row>
    <row r="42">
      <c r="A42" s="9" t="inlineStr">
        <is>
          <t>PAYROLL</t>
        </is>
      </c>
      <c r="B42" s="26" t="n"/>
      <c r="C42" s="26" t="n"/>
    </row>
    <row r="43">
      <c r="A43" s="27" t="inlineStr">
        <is>
          <t>Founder gross salary (each)</t>
        </is>
      </c>
      <c r="B43" s="28" t="n">
        <v>4166</v>
      </c>
      <c r="C43" s="2" t="inlineStr">
        <is>
          <t>EUR/mo</t>
        </is>
      </c>
    </row>
    <row r="44">
      <c r="A44" s="27" t="inlineStr">
        <is>
          <t>Employer multiplier</t>
        </is>
      </c>
      <c r="B44" s="28" t="n">
        <v>1.22</v>
      </c>
      <c r="C44" s="2" t="inlineStr">
        <is>
          <t>German social contributions</t>
        </is>
      </c>
    </row>
    <row r="45">
      <c r="A45" s="27" t="inlineStr">
        <is>
          <t>Space staff gross (M4+)</t>
        </is>
      </c>
      <c r="B45" s="28" t="n">
        <v>1230</v>
      </c>
      <c r="C45" s="2" t="inlineStr">
        <is>
          <t>Part-time</t>
        </is>
      </c>
    </row>
    <row r="46">
      <c r="A46" s="27" t="inlineStr">
        <is>
          <t>Partner Mgr gross (M6+)</t>
        </is>
      </c>
      <c r="B46" s="28" t="n">
        <v>2000</v>
      </c>
      <c r="C46" s="2" t="inlineStr">
        <is>
          <t>EUR/mo</t>
        </is>
      </c>
    </row>
    <row r="47">
      <c r="A47" s="27" t="inlineStr">
        <is>
          <t>Growth Marketer gross (M12+)</t>
        </is>
      </c>
      <c r="B47" s="28" t="n">
        <v>4500</v>
      </c>
      <c r="C47" s="2" t="inlineStr">
        <is>
          <t>EUR/mo</t>
        </is>
      </c>
    </row>
    <row r="48">
      <c r="A48" s="27" t="inlineStr">
        <is>
          <t>Tech/Ops Lead gross (M18+)</t>
        </is>
      </c>
      <c r="B48" s="28" t="n">
        <v>6500</v>
      </c>
      <c r="C48" s="2" t="inlineStr">
        <is>
          <t>EUR/mo</t>
        </is>
      </c>
    </row>
    <row r="49">
      <c r="A49" s="27" t="inlineStr">
        <is>
          <t>BG insurance rate</t>
        </is>
      </c>
      <c r="B49" s="30" t="n">
        <v>0.015</v>
      </c>
      <c r="C49" s="2" t="inlineStr">
        <is>
          <t>~1.5% of gross payroll (mandatory)</t>
        </is>
      </c>
    </row>
    <row r="51">
      <c r="A51" s="9" t="inlineStr">
        <is>
          <t>FIXED OPERATING COSTS</t>
        </is>
      </c>
      <c r="B51" s="26" t="n"/>
      <c r="C51" s="26" t="n"/>
    </row>
    <row r="52">
      <c r="A52" s="27" t="inlineStr">
        <is>
          <t>App maintenance retainer</t>
        </is>
      </c>
      <c r="B52" s="28" t="n">
        <v>1500</v>
      </c>
      <c r="C52" s="2" t="inlineStr">
        <is>
          <t>External agency</t>
        </is>
      </c>
    </row>
    <row r="53">
      <c r="A53" s="27" t="inlineStr">
        <is>
          <t>UX/UI design retainer</t>
        </is>
      </c>
      <c r="B53" s="28" t="n">
        <v>800</v>
      </c>
      <c r="C53" s="2" t="inlineStr">
        <is>
          <t>R6 flags: EUR 99K/24mo needed</t>
        </is>
      </c>
    </row>
    <row r="54">
      <c r="A54" s="27" t="inlineStr">
        <is>
          <t>Claude Max (internal AI)</t>
        </is>
      </c>
      <c r="B54" s="28" t="n">
        <v>210</v>
      </c>
      <c r="C54" s="2" t="inlineStr">
        <is>
          <t>D6: team budget</t>
        </is>
      </c>
    </row>
    <row r="55">
      <c r="A55" s="27" t="inlineStr">
        <is>
          <t>SaaS Stack M1-6</t>
        </is>
      </c>
      <c r="B55" s="28" t="n">
        <v>338</v>
      </c>
      <c r="C55" s="2" t="inlineStr">
        <is>
          <t>D9: Google, Figma, Notion, Crisp</t>
        </is>
      </c>
    </row>
    <row r="56">
      <c r="A56" s="27" t="inlineStr">
        <is>
          <t>SaaS Stack M7-12</t>
        </is>
      </c>
      <c r="B56" s="28" t="n">
        <v>500</v>
      </c>
      <c r="C56" s="2" t="inlineStr">
        <is>
          <t>D9: + tools</t>
        </is>
      </c>
    </row>
    <row r="57">
      <c r="A57" s="27" t="inlineStr">
        <is>
          <t>SaaS Stack M13+</t>
        </is>
      </c>
      <c r="B57" s="28" t="n">
        <v>750</v>
      </c>
      <c r="C57" s="2" t="inlineStr">
        <is>
          <t>D9: full stack</t>
        </is>
      </c>
    </row>
    <row r="58">
      <c r="A58" s="27" t="inlineStr">
        <is>
          <t>Rent M1-3 (co-working)</t>
        </is>
      </c>
      <c r="B58" s="28" t="n">
        <v>750</v>
      </c>
      <c r="C58" s="2" t="inlineStr">
        <is>
          <t>Before space opens</t>
        </is>
      </c>
    </row>
    <row r="59">
      <c r="A59" s="27" t="inlineStr">
        <is>
          <t>Rent M4+ (physical space)</t>
        </is>
      </c>
      <c r="B59" s="28" t="n">
        <v>2500</v>
      </c>
      <c r="C59" s="2" t="inlineStr">
        <is>
          <t>Wellness space + smoothie bar</t>
        </is>
      </c>
    </row>
    <row r="60">
      <c r="A60" s="27" t="inlineStr">
        <is>
          <t>Steuerberater</t>
        </is>
      </c>
      <c r="B60" s="28" t="n">
        <v>400</v>
      </c>
      <c r="C60" s="2" t="inlineStr">
        <is>
          <t>Tax advisor</t>
        </is>
      </c>
    </row>
    <row r="61">
      <c r="A61" s="27" t="inlineStr">
        <is>
          <t>Business insurance</t>
        </is>
      </c>
      <c r="B61" s="28" t="n">
        <v>200</v>
      </c>
      <c r="C61" s="2" t="inlineStr">
        <is>
          <t>General liability</t>
        </is>
      </c>
    </row>
    <row r="62">
      <c r="A62" s="27" t="inlineStr">
        <is>
          <t>Utilities M4+ (Strom/Gas/Wasser)</t>
        </is>
      </c>
      <c r="B62" s="28" t="n">
        <v>400</v>
      </c>
      <c r="C62" s="2" t="inlineStr">
        <is>
          <t>Physical space</t>
        </is>
      </c>
    </row>
    <row r="63">
      <c r="A63" s="27" t="inlineStr">
        <is>
          <t>Cleaning/maintenance M4+</t>
        </is>
      </c>
      <c r="B63" s="28" t="n">
        <v>300</v>
      </c>
      <c r="C63" s="2" t="inlineStr">
        <is>
          <t>Physical space</t>
        </is>
      </c>
    </row>
    <row r="64">
      <c r="A64" s="27" t="inlineStr">
        <is>
          <t>POS system M4+</t>
        </is>
      </c>
      <c r="B64" s="28" t="n">
        <v>50</v>
      </c>
      <c r="C64" s="2" t="inlineStr">
        <is>
          <t>Cash register + software</t>
        </is>
      </c>
    </row>
    <row r="65">
      <c r="A65" s="27" t="inlineStr">
        <is>
          <t>IHK Berlin (annual ÷ 12)</t>
        </is>
      </c>
      <c r="B65" s="28" t="n">
        <v>25</v>
      </c>
      <c r="C65" s="2" t="inlineStr">
        <is>
          <t>Mandatory chamber membership</t>
        </is>
      </c>
    </row>
    <row r="66">
      <c r="A66" s="27" t="inlineStr">
        <is>
          <t>Content creation tools</t>
        </is>
      </c>
      <c r="B66" s="28" t="n">
        <v>150</v>
      </c>
      <c r="C66" s="2" t="inlineStr">
        <is>
          <t>Canva, stock, etc.</t>
        </is>
      </c>
    </row>
    <row r="67">
      <c r="A67" s="27" t="inlineStr">
        <is>
          <t>Influencer seeding M7+</t>
        </is>
      </c>
      <c r="B67" s="28" t="n">
        <v>200</v>
      </c>
      <c r="C67" s="2" t="inlineStr">
        <is>
          <t>Product seeding</t>
        </is>
      </c>
    </row>
    <row r="68">
      <c r="A68" s="27" t="inlineStr">
        <is>
          <t>Investor travel</t>
        </is>
      </c>
      <c r="B68" s="28" t="n">
        <v>150</v>
      </c>
      <c r="C68" s="2" t="inlineStr">
        <is>
          <t>Monthly</t>
        </is>
      </c>
    </row>
    <row r="69">
      <c r="A69" s="27" t="inlineStr">
        <is>
          <t>Conferences M7+</t>
        </is>
      </c>
      <c r="B69" s="28" t="n">
        <v>100</v>
      </c>
      <c r="C69" s="2" t="inlineStr">
        <is>
          <t>Industry events</t>
        </is>
      </c>
    </row>
    <row r="70">
      <c r="A70" s="27" t="inlineStr">
        <is>
          <t>Local transport</t>
        </is>
      </c>
      <c r="B70" s="28" t="n">
        <v>50</v>
      </c>
      <c r="C70" s="2" t="inlineStr">
        <is>
          <t>BVG</t>
        </is>
      </c>
    </row>
    <row r="71">
      <c r="A71" s="27" t="inlineStr">
        <is>
          <t>Contingency buffer rate</t>
        </is>
      </c>
      <c r="B71" s="29" t="n">
        <v>0.1</v>
      </c>
      <c r="C71" s="2" t="inlineStr">
        <is>
          <t>10% of OpEx (pre-contingency)</t>
        </is>
      </c>
    </row>
    <row r="72">
      <c r="A72" s="27" t="inlineStr">
        <is>
          <t>Recruitment M17 (CTO search)</t>
        </is>
      </c>
      <c r="B72" s="28" t="n">
        <v>5000</v>
      </c>
      <c r="C72" s="2" t="inlineStr">
        <is>
          <t>One-off</t>
        </is>
      </c>
    </row>
    <row r="74">
      <c r="A74" s="9" t="inlineStr">
        <is>
          <t>CAPITAL EXPENDITURES (D5)</t>
        </is>
      </c>
      <c r="B74" s="26" t="n"/>
      <c r="C74" s="26" t="n"/>
    </row>
    <row r="75">
      <c r="A75" s="27" t="inlineStr">
        <is>
          <t>GmbH Formation (M1)</t>
        </is>
      </c>
      <c r="B75" s="28" t="n">
        <v>2500</v>
      </c>
      <c r="C75" s="2" t="inlineStr">
        <is>
          <t>One-off</t>
        </is>
      </c>
    </row>
    <row r="76">
      <c r="A76" s="27" t="inlineStr">
        <is>
          <t>Legal Opinion HWG (M1)</t>
        </is>
      </c>
      <c r="B76" s="28" t="n">
        <v>3500</v>
      </c>
      <c r="C76" s="2" t="inlineStr">
        <is>
          <t>One-off</t>
        </is>
      </c>
    </row>
    <row r="77">
      <c r="A77" s="27" t="inlineStr">
        <is>
          <t>R&amp;D Stability Testing (M1)</t>
        </is>
      </c>
      <c r="B77" s="28" t="n">
        <v>5000</v>
      </c>
      <c r="C77" s="2" t="inlineStr">
        <is>
          <t>One-off</t>
        </is>
      </c>
    </row>
    <row r="78">
      <c r="A78" s="27" t="inlineStr">
        <is>
          <t>Space Buildout (M3)</t>
        </is>
      </c>
      <c r="B78" s="28" t="n">
        <v>15000</v>
      </c>
      <c r="C78" s="2" t="inlineStr">
        <is>
          <t>One-off</t>
        </is>
      </c>
    </row>
    <row r="79">
      <c r="A79" s="27" t="inlineStr">
        <is>
          <t>Kitchen Equipment (M3)</t>
        </is>
      </c>
      <c r="B79" s="28" t="n">
        <v>20000</v>
      </c>
      <c r="C79" s="2" t="inlineStr">
        <is>
          <t>Smoothie bar</t>
        </is>
      </c>
    </row>
    <row r="80">
      <c r="A80" s="27" t="inlineStr">
        <is>
          <t>LED Therapy Devices (M3)</t>
        </is>
      </c>
      <c r="B80" s="28" t="n">
        <v>5000</v>
      </c>
      <c r="C80" s="2" t="inlineStr">
        <is>
          <t>One-off</t>
        </is>
      </c>
    </row>
    <row r="81">
      <c r="A81" s="27" t="inlineStr">
        <is>
          <t>CapEx depreciation (months)</t>
        </is>
      </c>
      <c r="B81" s="28" t="n">
        <v>36</v>
      </c>
      <c r="C81" s="2" t="inlineStr">
        <is>
          <t>Linear 3-year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E7C"/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alche — Monthly Growth Curves (Input Data)</t>
        </is>
      </c>
    </row>
    <row r="2">
      <c r="A2" s="2" t="inlineStr">
        <is>
          <t>Edit these numbers to change unit forecasts. P&amp;L formulas reference these cells.</t>
        </is>
      </c>
    </row>
    <row r="3">
      <c r="A3" s="4" t="inlineStr">
        <is>
          <t>Metric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</row>
    <row r="4">
      <c r="A4" s="17" t="inlineStr">
        <is>
          <t>Potion Units</t>
        </is>
      </c>
      <c r="B4" s="18" t="n">
        <v>0</v>
      </c>
      <c r="C4" s="18" t="n">
        <v>0</v>
      </c>
      <c r="D4" s="18" t="n">
        <v>0</v>
      </c>
      <c r="E4" s="18" t="n">
        <v>50</v>
      </c>
      <c r="F4" s="18" t="n">
        <v>100</v>
      </c>
      <c r="G4" s="18" t="n">
        <v>150</v>
      </c>
      <c r="H4" s="18" t="n">
        <v>250</v>
      </c>
      <c r="I4" s="18" t="n">
        <v>350</v>
      </c>
      <c r="J4" s="18" t="n">
        <v>450</v>
      </c>
      <c r="K4" s="18" t="n">
        <v>600</v>
      </c>
      <c r="L4" s="18" t="n">
        <v>750</v>
      </c>
      <c r="M4" s="18" t="n">
        <v>900</v>
      </c>
      <c r="N4" s="18" t="n">
        <v>1100</v>
      </c>
      <c r="O4" s="18" t="n">
        <v>1300</v>
      </c>
      <c r="P4" s="18" t="n">
        <v>1500</v>
      </c>
      <c r="Q4" s="18" t="n">
        <v>1800</v>
      </c>
      <c r="R4" s="18" t="n">
        <v>2100</v>
      </c>
      <c r="S4" s="18" t="n">
        <v>2400</v>
      </c>
      <c r="T4" s="18" t="n">
        <v>2700</v>
      </c>
      <c r="U4" s="18" t="n">
        <v>3000</v>
      </c>
      <c r="V4" s="18" t="n">
        <v>3400</v>
      </c>
      <c r="W4" s="18" t="n">
        <v>3800</v>
      </c>
      <c r="X4" s="18" t="n">
        <v>4200</v>
      </c>
      <c r="Y4" s="18" t="n">
        <v>4600</v>
      </c>
    </row>
    <row r="5">
      <c r="A5" s="17" t="inlineStr">
        <is>
          <t>LED Sessions</t>
        </is>
      </c>
      <c r="B5" s="18" t="n">
        <v>0</v>
      </c>
      <c r="C5" s="18" t="n">
        <v>0</v>
      </c>
      <c r="D5" s="18" t="n">
        <v>0</v>
      </c>
      <c r="E5" s="18" t="n">
        <v>10</v>
      </c>
      <c r="F5" s="18" t="n">
        <v>20</v>
      </c>
      <c r="G5" s="18" t="n">
        <v>35</v>
      </c>
      <c r="H5" s="18" t="n">
        <v>50</v>
      </c>
      <c r="I5" s="18" t="n">
        <v>65</v>
      </c>
      <c r="J5" s="18" t="n">
        <v>80</v>
      </c>
      <c r="K5" s="18" t="n">
        <v>100</v>
      </c>
      <c r="L5" s="18" t="n">
        <v>120</v>
      </c>
      <c r="M5" s="18" t="n">
        <v>140</v>
      </c>
      <c r="N5" s="18" t="n">
        <v>160</v>
      </c>
      <c r="O5" s="18" t="n">
        <v>180</v>
      </c>
      <c r="P5" s="18" t="n">
        <v>200</v>
      </c>
      <c r="Q5" s="18" t="n">
        <v>220</v>
      </c>
      <c r="R5" s="18" t="n">
        <v>240</v>
      </c>
      <c r="S5" s="18" t="n">
        <v>260</v>
      </c>
      <c r="T5" s="18" t="n">
        <v>280</v>
      </c>
      <c r="U5" s="18" t="n">
        <v>300</v>
      </c>
      <c r="V5" s="18" t="n">
        <v>300</v>
      </c>
      <c r="W5" s="18" t="n">
        <v>300</v>
      </c>
      <c r="X5" s="18" t="n">
        <v>300</v>
      </c>
      <c r="Y5" s="18" t="n">
        <v>300</v>
      </c>
    </row>
    <row r="6">
      <c r="A6" s="17" t="inlineStr">
        <is>
          <t>Smoothie Units</t>
        </is>
      </c>
      <c r="B6" s="18" t="n">
        <v>0</v>
      </c>
      <c r="C6" s="18" t="n">
        <v>0</v>
      </c>
      <c r="D6" s="18" t="n">
        <v>0</v>
      </c>
      <c r="E6" s="18" t="n">
        <v>100</v>
      </c>
      <c r="F6" s="18" t="n">
        <v>150</v>
      </c>
      <c r="G6" s="18" t="n">
        <v>250</v>
      </c>
      <c r="H6" s="18" t="n">
        <v>350</v>
      </c>
      <c r="I6" s="18" t="n">
        <v>450</v>
      </c>
      <c r="J6" s="18" t="n">
        <v>550</v>
      </c>
      <c r="K6" s="18" t="n">
        <v>650</v>
      </c>
      <c r="L6" s="18" t="n">
        <v>750</v>
      </c>
      <c r="M6" s="18" t="n">
        <v>850</v>
      </c>
      <c r="N6" s="18" t="n">
        <v>950</v>
      </c>
      <c r="O6" s="18" t="n">
        <v>1050</v>
      </c>
      <c r="P6" s="18" t="n">
        <v>1150</v>
      </c>
      <c r="Q6" s="18" t="n">
        <v>1250</v>
      </c>
      <c r="R6" s="18" t="n">
        <v>1350</v>
      </c>
      <c r="S6" s="18" t="n">
        <v>1450</v>
      </c>
      <c r="T6" s="18" t="n">
        <v>1550</v>
      </c>
      <c r="U6" s="18" t="n">
        <v>1650</v>
      </c>
      <c r="V6" s="18" t="n">
        <v>1750</v>
      </c>
      <c r="W6" s="18" t="n">
        <v>1850</v>
      </c>
      <c r="X6" s="18" t="n">
        <v>1950</v>
      </c>
      <c r="Y6" s="18" t="n">
        <v>2000</v>
      </c>
    </row>
    <row r="7">
      <c r="A7" s="17" t="inlineStr">
        <is>
          <t>Event Count</t>
        </is>
      </c>
      <c r="B7" s="18" t="n">
        <v>0</v>
      </c>
      <c r="C7" s="18" t="n">
        <v>0</v>
      </c>
      <c r="D7" s="18" t="n">
        <v>0</v>
      </c>
      <c r="E7" s="18" t="n">
        <v>1</v>
      </c>
      <c r="F7" s="18" t="n">
        <v>1</v>
      </c>
      <c r="G7" s="18" t="n">
        <v>2</v>
      </c>
      <c r="H7" s="18" t="n">
        <v>2</v>
      </c>
      <c r="I7" s="18" t="n">
        <v>3</v>
      </c>
      <c r="J7" s="18" t="n">
        <v>3</v>
      </c>
      <c r="K7" s="18" t="n">
        <v>3</v>
      </c>
      <c r="L7" s="18" t="n">
        <v>3</v>
      </c>
      <c r="M7" s="18" t="n">
        <v>3</v>
      </c>
      <c r="N7" s="18" t="n">
        <v>3</v>
      </c>
      <c r="O7" s="18" t="n">
        <v>3</v>
      </c>
      <c r="P7" s="18" t="n">
        <v>4</v>
      </c>
      <c r="Q7" s="18" t="n">
        <v>4</v>
      </c>
      <c r="R7" s="18" t="n">
        <v>4</v>
      </c>
      <c r="S7" s="18" t="n">
        <v>4</v>
      </c>
      <c r="T7" s="18" t="n">
        <v>4</v>
      </c>
      <c r="U7" s="18" t="n">
        <v>5</v>
      </c>
      <c r="V7" s="18" t="n">
        <v>5</v>
      </c>
      <c r="W7" s="18" t="n">
        <v>5</v>
      </c>
      <c r="X7" s="18" t="n">
        <v>5</v>
      </c>
      <c r="Y7" s="18" t="n">
        <v>5</v>
      </c>
    </row>
    <row r="8">
      <c r="A8" s="17" t="inlineStr">
        <is>
          <t>Event Avg Attendees</t>
        </is>
      </c>
      <c r="B8" s="18" t="n">
        <v>0</v>
      </c>
      <c r="C8" s="18" t="n">
        <v>0</v>
      </c>
      <c r="D8" s="18" t="n">
        <v>0</v>
      </c>
      <c r="E8" s="18" t="n">
        <v>12</v>
      </c>
      <c r="F8" s="18" t="n">
        <v>15</v>
      </c>
      <c r="G8" s="18" t="n">
        <v>15</v>
      </c>
      <c r="H8" s="18" t="n">
        <v>18</v>
      </c>
      <c r="I8" s="18" t="n">
        <v>18</v>
      </c>
      <c r="J8" s="18" t="n">
        <v>18</v>
      </c>
      <c r="K8" s="18" t="n">
        <v>20</v>
      </c>
      <c r="L8" s="18" t="n">
        <v>20</v>
      </c>
      <c r="M8" s="18" t="n">
        <v>20</v>
      </c>
      <c r="N8" s="18" t="n">
        <v>22</v>
      </c>
      <c r="O8" s="18" t="n">
        <v>22</v>
      </c>
      <c r="P8" s="18" t="n">
        <v>22</v>
      </c>
      <c r="Q8" s="18" t="n">
        <v>22</v>
      </c>
      <c r="R8" s="18" t="n">
        <v>24</v>
      </c>
      <c r="S8" s="18" t="n">
        <v>24</v>
      </c>
      <c r="T8" s="18" t="n">
        <v>25</v>
      </c>
      <c r="U8" s="18" t="n">
        <v>25</v>
      </c>
      <c r="V8" s="18" t="n">
        <v>25</v>
      </c>
      <c r="W8" s="18" t="n">
        <v>25</v>
      </c>
      <c r="X8" s="18" t="n">
        <v>25</v>
      </c>
      <c r="Y8" s="18" t="n">
        <v>25</v>
      </c>
    </row>
    <row r="9">
      <c r="A9" s="17" t="inlineStr">
        <is>
          <t>Doctor Clinics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2</v>
      </c>
      <c r="H9" s="18" t="n">
        <v>5</v>
      </c>
      <c r="I9" s="18" t="n">
        <v>8</v>
      </c>
      <c r="J9" s="18" t="n">
        <v>10</v>
      </c>
      <c r="K9" s="18" t="n">
        <v>12</v>
      </c>
      <c r="L9" s="18" t="n">
        <v>15</v>
      </c>
      <c r="M9" s="18" t="n">
        <v>17</v>
      </c>
      <c r="N9" s="18" t="n">
        <v>18</v>
      </c>
      <c r="O9" s="18" t="n">
        <v>19</v>
      </c>
      <c r="P9" s="18" t="n">
        <v>20</v>
      </c>
      <c r="Q9" s="18" t="n">
        <v>20</v>
      </c>
      <c r="R9" s="18" t="n">
        <v>20</v>
      </c>
      <c r="S9" s="18" t="n">
        <v>20</v>
      </c>
      <c r="T9" s="18" t="n">
        <v>20</v>
      </c>
      <c r="U9" s="18" t="n">
        <v>20</v>
      </c>
      <c r="V9" s="18" t="n">
        <v>20</v>
      </c>
      <c r="W9" s="18" t="n">
        <v>20</v>
      </c>
      <c r="X9" s="18" t="n">
        <v>20</v>
      </c>
      <c r="Y9" s="18" t="n">
        <v>20</v>
      </c>
    </row>
    <row r="10">
      <c r="A10" s="17" t="inlineStr">
        <is>
          <t>Marketing Spend (EUR)</t>
        </is>
      </c>
      <c r="B10" s="18" t="n">
        <v>50</v>
      </c>
      <c r="C10" s="18" t="n">
        <v>50</v>
      </c>
      <c r="D10" s="18" t="n">
        <v>100</v>
      </c>
      <c r="E10" s="18" t="n">
        <v>200</v>
      </c>
      <c r="F10" s="18" t="n">
        <v>400</v>
      </c>
      <c r="G10" s="18" t="n">
        <v>600</v>
      </c>
      <c r="H10" s="18" t="n">
        <v>800</v>
      </c>
      <c r="I10" s="18" t="n">
        <v>800</v>
      </c>
      <c r="J10" s="18" t="n">
        <v>1000</v>
      </c>
      <c r="K10" s="18" t="n">
        <v>1200</v>
      </c>
      <c r="L10" s="18" t="n">
        <v>1400</v>
      </c>
      <c r="M10" s="18" t="n">
        <v>1400</v>
      </c>
      <c r="N10" s="18" t="n">
        <v>1800</v>
      </c>
      <c r="O10" s="18" t="n">
        <v>1800</v>
      </c>
      <c r="P10" s="18" t="n">
        <v>2000</v>
      </c>
      <c r="Q10" s="18" t="n">
        <v>2000</v>
      </c>
      <c r="R10" s="18" t="n">
        <v>2200</v>
      </c>
      <c r="S10" s="18" t="n">
        <v>2200</v>
      </c>
      <c r="T10" s="18" t="n">
        <v>2500</v>
      </c>
      <c r="U10" s="18" t="n">
        <v>2500</v>
      </c>
      <c r="V10" s="18" t="n">
        <v>2800</v>
      </c>
      <c r="W10" s="18" t="n">
        <v>2800</v>
      </c>
      <c r="X10" s="18" t="n">
        <v>3000</v>
      </c>
      <c r="Y10" s="18" t="n">
        <v>3000</v>
      </c>
    </row>
    <row r="11">
      <c r="A11" s="5" t="inlineStr">
        <is>
          <t>New Doctors (delta)</t>
        </is>
      </c>
      <c r="B11" s="5" t="n">
        <v>0</v>
      </c>
      <c r="C11" s="31">
        <f>MAX(0,C9-B9)</f>
        <v/>
      </c>
      <c r="D11" s="31">
        <f>MAX(0,D9-C9)</f>
        <v/>
      </c>
      <c r="E11" s="31">
        <f>MAX(0,E9-D9)</f>
        <v/>
      </c>
      <c r="F11" s="31">
        <f>MAX(0,F9-E9)</f>
        <v/>
      </c>
      <c r="G11" s="31">
        <f>MAX(0,G9-F9)</f>
        <v/>
      </c>
      <c r="H11" s="31">
        <f>MAX(0,H9-G9)</f>
        <v/>
      </c>
      <c r="I11" s="31">
        <f>MAX(0,I9-H9)</f>
        <v/>
      </c>
      <c r="J11" s="31">
        <f>MAX(0,J9-I9)</f>
        <v/>
      </c>
      <c r="K11" s="31">
        <f>MAX(0,K9-J9)</f>
        <v/>
      </c>
      <c r="L11" s="31">
        <f>MAX(0,L9-K9)</f>
        <v/>
      </c>
      <c r="M11" s="31">
        <f>MAX(0,M9-L9)</f>
        <v/>
      </c>
      <c r="N11" s="31">
        <f>MAX(0,N9-M9)</f>
        <v/>
      </c>
      <c r="O11" s="31">
        <f>MAX(0,O9-N9)</f>
        <v/>
      </c>
      <c r="P11" s="31">
        <f>MAX(0,P9-O9)</f>
        <v/>
      </c>
      <c r="Q11" s="31">
        <f>MAX(0,Q9-P9)</f>
        <v/>
      </c>
      <c r="R11" s="31">
        <f>MAX(0,R9-Q9)</f>
        <v/>
      </c>
      <c r="S11" s="31">
        <f>MAX(0,S9-R9)</f>
        <v/>
      </c>
      <c r="T11" s="31">
        <f>MAX(0,T9-S9)</f>
        <v/>
      </c>
      <c r="U11" s="31">
        <f>MAX(0,U9-T9)</f>
        <v/>
      </c>
      <c r="V11" s="31">
        <f>MAX(0,V9-U9)</f>
        <v/>
      </c>
      <c r="W11" s="31">
        <f>MAX(0,W9-V9)</f>
        <v/>
      </c>
      <c r="X11" s="31">
        <f>MAX(0,X9-W9)</f>
        <v/>
      </c>
      <c r="Y11" s="31">
        <f>MAX(0,Y9-X9)</f>
        <v/>
      </c>
    </row>
    <row r="13">
      <c r="A13" s="9" t="inlineStr">
        <is>
          <t>SUBSCRIBER MODEL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5" t="inlineStr">
        <is>
          <t>New Subs Rate</t>
        </is>
      </c>
      <c r="B14" s="31">
        <f>IF(1&lt;=3,Assumptions!B14,IF(1&lt;=6,Assumptions!B15,IF(1&lt;=9,Assumptions!B16,IF(1&lt;=12,Assumptions!B17,IF(1&lt;=18,Assumptions!B18,Assumptions!B19)))))</f>
        <v/>
      </c>
      <c r="C14" s="31">
        <f>IF(2&lt;=3,Assumptions!B14,IF(2&lt;=6,Assumptions!B15,IF(2&lt;=9,Assumptions!B16,IF(2&lt;=12,Assumptions!B17,IF(2&lt;=18,Assumptions!B18,Assumptions!B19)))))</f>
        <v/>
      </c>
      <c r="D14" s="31">
        <f>IF(3&lt;=3,Assumptions!B14,IF(3&lt;=6,Assumptions!B15,IF(3&lt;=9,Assumptions!B16,IF(3&lt;=12,Assumptions!B17,IF(3&lt;=18,Assumptions!B18,Assumptions!B19)))))</f>
        <v/>
      </c>
      <c r="E14" s="31">
        <f>IF(4&lt;=3,Assumptions!B14,IF(4&lt;=6,Assumptions!B15,IF(4&lt;=9,Assumptions!B16,IF(4&lt;=12,Assumptions!B17,IF(4&lt;=18,Assumptions!B18,Assumptions!B19)))))</f>
        <v/>
      </c>
      <c r="F14" s="31">
        <f>IF(5&lt;=3,Assumptions!B14,IF(5&lt;=6,Assumptions!B15,IF(5&lt;=9,Assumptions!B16,IF(5&lt;=12,Assumptions!B17,IF(5&lt;=18,Assumptions!B18,Assumptions!B19)))))</f>
        <v/>
      </c>
      <c r="G14" s="31">
        <f>IF(6&lt;=3,Assumptions!B14,IF(6&lt;=6,Assumptions!B15,IF(6&lt;=9,Assumptions!B16,IF(6&lt;=12,Assumptions!B17,IF(6&lt;=18,Assumptions!B18,Assumptions!B19)))))</f>
        <v/>
      </c>
      <c r="H14" s="31">
        <f>IF(7&lt;=3,Assumptions!B14,IF(7&lt;=6,Assumptions!B15,IF(7&lt;=9,Assumptions!B16,IF(7&lt;=12,Assumptions!B17,IF(7&lt;=18,Assumptions!B18,Assumptions!B19)))))</f>
        <v/>
      </c>
      <c r="I14" s="31">
        <f>IF(8&lt;=3,Assumptions!B14,IF(8&lt;=6,Assumptions!B15,IF(8&lt;=9,Assumptions!B16,IF(8&lt;=12,Assumptions!B17,IF(8&lt;=18,Assumptions!B18,Assumptions!B19)))))</f>
        <v/>
      </c>
      <c r="J14" s="31">
        <f>IF(9&lt;=3,Assumptions!B14,IF(9&lt;=6,Assumptions!B15,IF(9&lt;=9,Assumptions!B16,IF(9&lt;=12,Assumptions!B17,IF(9&lt;=18,Assumptions!B18,Assumptions!B19)))))</f>
        <v/>
      </c>
      <c r="K14" s="31">
        <f>IF(10&lt;=3,Assumptions!B14,IF(10&lt;=6,Assumptions!B15,IF(10&lt;=9,Assumptions!B16,IF(10&lt;=12,Assumptions!B17,IF(10&lt;=18,Assumptions!B18,Assumptions!B19)))))</f>
        <v/>
      </c>
      <c r="L14" s="31">
        <f>IF(11&lt;=3,Assumptions!B14,IF(11&lt;=6,Assumptions!B15,IF(11&lt;=9,Assumptions!B16,IF(11&lt;=12,Assumptions!B17,IF(11&lt;=18,Assumptions!B18,Assumptions!B19)))))</f>
        <v/>
      </c>
      <c r="M14" s="31">
        <f>IF(12&lt;=3,Assumptions!B14,IF(12&lt;=6,Assumptions!B15,IF(12&lt;=9,Assumptions!B16,IF(12&lt;=12,Assumptions!B17,IF(12&lt;=18,Assumptions!B18,Assumptions!B19)))))</f>
        <v/>
      </c>
      <c r="N14" s="31">
        <f>IF(13&lt;=3,Assumptions!B14,IF(13&lt;=6,Assumptions!B15,IF(13&lt;=9,Assumptions!B16,IF(13&lt;=12,Assumptions!B17,IF(13&lt;=18,Assumptions!B18,Assumptions!B19)))))</f>
        <v/>
      </c>
      <c r="O14" s="31">
        <f>IF(14&lt;=3,Assumptions!B14,IF(14&lt;=6,Assumptions!B15,IF(14&lt;=9,Assumptions!B16,IF(14&lt;=12,Assumptions!B17,IF(14&lt;=18,Assumptions!B18,Assumptions!B19)))))</f>
        <v/>
      </c>
      <c r="P14" s="31">
        <f>IF(15&lt;=3,Assumptions!B14,IF(15&lt;=6,Assumptions!B15,IF(15&lt;=9,Assumptions!B16,IF(15&lt;=12,Assumptions!B17,IF(15&lt;=18,Assumptions!B18,Assumptions!B19)))))</f>
        <v/>
      </c>
      <c r="Q14" s="31">
        <f>IF(16&lt;=3,Assumptions!B14,IF(16&lt;=6,Assumptions!B15,IF(16&lt;=9,Assumptions!B16,IF(16&lt;=12,Assumptions!B17,IF(16&lt;=18,Assumptions!B18,Assumptions!B19)))))</f>
        <v/>
      </c>
      <c r="R14" s="31">
        <f>IF(17&lt;=3,Assumptions!B14,IF(17&lt;=6,Assumptions!B15,IF(17&lt;=9,Assumptions!B16,IF(17&lt;=12,Assumptions!B17,IF(17&lt;=18,Assumptions!B18,Assumptions!B19)))))</f>
        <v/>
      </c>
      <c r="S14" s="31">
        <f>IF(18&lt;=3,Assumptions!B14,IF(18&lt;=6,Assumptions!B15,IF(18&lt;=9,Assumptions!B16,IF(18&lt;=12,Assumptions!B17,IF(18&lt;=18,Assumptions!B18,Assumptions!B19)))))</f>
        <v/>
      </c>
      <c r="T14" s="31">
        <f>IF(19&lt;=3,Assumptions!B14,IF(19&lt;=6,Assumptions!B15,IF(19&lt;=9,Assumptions!B16,IF(19&lt;=12,Assumptions!B17,IF(19&lt;=18,Assumptions!B18,Assumptions!B19)))))</f>
        <v/>
      </c>
      <c r="U14" s="31">
        <f>IF(20&lt;=3,Assumptions!B14,IF(20&lt;=6,Assumptions!B15,IF(20&lt;=9,Assumptions!B16,IF(20&lt;=12,Assumptions!B17,IF(20&lt;=18,Assumptions!B18,Assumptions!B19)))))</f>
        <v/>
      </c>
      <c r="V14" s="31">
        <f>IF(21&lt;=3,Assumptions!B14,IF(21&lt;=6,Assumptions!B15,IF(21&lt;=9,Assumptions!B16,IF(21&lt;=12,Assumptions!B17,IF(21&lt;=18,Assumptions!B18,Assumptions!B19)))))</f>
        <v/>
      </c>
      <c r="W14" s="31">
        <f>IF(22&lt;=3,Assumptions!B14,IF(22&lt;=6,Assumptions!B15,IF(22&lt;=9,Assumptions!B16,IF(22&lt;=12,Assumptions!B17,IF(22&lt;=18,Assumptions!B18,Assumptions!B19)))))</f>
        <v/>
      </c>
      <c r="X14" s="31">
        <f>IF(23&lt;=3,Assumptions!B14,IF(23&lt;=6,Assumptions!B15,IF(23&lt;=9,Assumptions!B16,IF(23&lt;=12,Assumptions!B17,IF(23&lt;=18,Assumptions!B18,Assumptions!B19)))))</f>
        <v/>
      </c>
      <c r="Y14" s="31">
        <f>IF(24&lt;=3,Assumptions!B14,IF(24&lt;=6,Assumptions!B15,IF(24&lt;=9,Assumptions!B16,IF(24&lt;=12,Assumptions!B17,IF(24&lt;=18,Assumptions!B18,Assumptions!B19)))))</f>
        <v/>
      </c>
    </row>
    <row r="15">
      <c r="A15" s="5" t="inlineStr">
        <is>
          <t>Churned Subs</t>
        </is>
      </c>
      <c r="B15" t="n">
        <v>0</v>
      </c>
      <c r="C15" s="31">
        <f>ROUND(B16*Assumptions!B8,0)</f>
        <v/>
      </c>
      <c r="D15" s="31">
        <f>ROUND(C16*Assumptions!B8,0)</f>
        <v/>
      </c>
      <c r="E15" s="31">
        <f>ROUND(D16*Assumptions!B8,0)</f>
        <v/>
      </c>
      <c r="F15" s="31">
        <f>ROUND(E16*Assumptions!B8,0)</f>
        <v/>
      </c>
      <c r="G15" s="31">
        <f>ROUND(F16*Assumptions!B8,0)</f>
        <v/>
      </c>
      <c r="H15" s="31">
        <f>ROUND(G16*Assumptions!B8,0)</f>
        <v/>
      </c>
      <c r="I15" s="31">
        <f>ROUND(H16*Assumptions!B8,0)</f>
        <v/>
      </c>
      <c r="J15" s="31">
        <f>ROUND(I16*Assumptions!B8,0)</f>
        <v/>
      </c>
      <c r="K15" s="31">
        <f>ROUND(J16*Assumptions!B8,0)</f>
        <v/>
      </c>
      <c r="L15" s="31">
        <f>ROUND(K16*Assumptions!B8,0)</f>
        <v/>
      </c>
      <c r="M15" s="31">
        <f>ROUND(L16*Assumptions!B8,0)</f>
        <v/>
      </c>
      <c r="N15" s="31">
        <f>ROUND(M16*Assumptions!B8,0)</f>
        <v/>
      </c>
      <c r="O15" s="31">
        <f>ROUND(N16*Assumptions!B8,0)</f>
        <v/>
      </c>
      <c r="P15" s="31">
        <f>ROUND(O16*Assumptions!B8,0)</f>
        <v/>
      </c>
      <c r="Q15" s="31">
        <f>ROUND(P16*Assumptions!B8,0)</f>
        <v/>
      </c>
      <c r="R15" s="31">
        <f>ROUND(Q16*Assumptions!B8,0)</f>
        <v/>
      </c>
      <c r="S15" s="31">
        <f>ROUND(R16*Assumptions!B8,0)</f>
        <v/>
      </c>
      <c r="T15" s="31">
        <f>ROUND(S16*Assumptions!B8,0)</f>
        <v/>
      </c>
      <c r="U15" s="31">
        <f>ROUND(T16*Assumptions!B8,0)</f>
        <v/>
      </c>
      <c r="V15" s="31">
        <f>ROUND(U16*Assumptions!B8,0)</f>
        <v/>
      </c>
      <c r="W15" s="31">
        <f>ROUND(V16*Assumptions!B8,0)</f>
        <v/>
      </c>
      <c r="X15" s="31">
        <f>ROUND(W16*Assumptions!B8,0)</f>
        <v/>
      </c>
      <c r="Y15" s="31">
        <f>ROUND(X16*Assumptions!B8,0)</f>
        <v/>
      </c>
    </row>
    <row r="16">
      <c r="A16" s="32" t="inlineStr">
        <is>
          <t>Total Subscribers</t>
        </is>
      </c>
      <c r="B16" s="33">
        <f>MAX(0,B14-B15)</f>
        <v/>
      </c>
      <c r="C16" s="33">
        <f>MAX(0,B16-C15+C14)</f>
        <v/>
      </c>
      <c r="D16" s="33">
        <f>MAX(0,C16-D15+D14)</f>
        <v/>
      </c>
      <c r="E16" s="33">
        <f>MAX(0,D16-E15+E14)</f>
        <v/>
      </c>
      <c r="F16" s="33">
        <f>MAX(0,E16-F15+F14)</f>
        <v/>
      </c>
      <c r="G16" s="33">
        <f>MAX(0,F16-G15+G14)</f>
        <v/>
      </c>
      <c r="H16" s="33">
        <f>MAX(0,G16-H15+H14)</f>
        <v/>
      </c>
      <c r="I16" s="33">
        <f>MAX(0,H16-I15+I14)</f>
        <v/>
      </c>
      <c r="J16" s="33">
        <f>MAX(0,I16-J15+J14)</f>
        <v/>
      </c>
      <c r="K16" s="33">
        <f>MAX(0,J16-K15+K14)</f>
        <v/>
      </c>
      <c r="L16" s="33">
        <f>MAX(0,K16-L15+L14)</f>
        <v/>
      </c>
      <c r="M16" s="33">
        <f>MAX(0,L16-M15+M14)</f>
        <v/>
      </c>
      <c r="N16" s="33">
        <f>MAX(0,M16-N15+N14)</f>
        <v/>
      </c>
      <c r="O16" s="33">
        <f>MAX(0,N16-O15+O14)</f>
        <v/>
      </c>
      <c r="P16" s="33">
        <f>MAX(0,O16-P15+P14)</f>
        <v/>
      </c>
      <c r="Q16" s="33">
        <f>MAX(0,P16-Q15+Q14)</f>
        <v/>
      </c>
      <c r="R16" s="33">
        <f>MAX(0,Q16-R15+R14)</f>
        <v/>
      </c>
      <c r="S16" s="33">
        <f>MAX(0,R16-S15+S14)</f>
        <v/>
      </c>
      <c r="T16" s="33">
        <f>MAX(0,S16-T15+T14)</f>
        <v/>
      </c>
      <c r="U16" s="33">
        <f>MAX(0,T16-U15+U14)</f>
        <v/>
      </c>
      <c r="V16" s="33">
        <f>MAX(0,U16-V15+V14)</f>
        <v/>
      </c>
      <c r="W16" s="33">
        <f>MAX(0,V16-W15+W14)</f>
        <v/>
      </c>
      <c r="X16" s="33">
        <f>MAX(0,W16-X15+X14)</f>
        <v/>
      </c>
      <c r="Y16" s="33">
        <f>MAX(0,X16-Y15+Y14)</f>
        <v/>
      </c>
    </row>
    <row r="17">
      <c r="A17" s="5" t="inlineStr">
        <is>
          <t xml:space="preserve">  Core Subs (52%)</t>
        </is>
      </c>
      <c r="B17" s="31">
        <f>ROUND(B16*Assumptions!B9,0)</f>
        <v/>
      </c>
      <c r="C17" s="31">
        <f>ROUND(C16*Assumptions!B9,0)</f>
        <v/>
      </c>
      <c r="D17" s="31">
        <f>ROUND(D16*Assumptions!B9,0)</f>
        <v/>
      </c>
      <c r="E17" s="31">
        <f>ROUND(E16*Assumptions!B9,0)</f>
        <v/>
      </c>
      <c r="F17" s="31">
        <f>ROUND(F16*Assumptions!B9,0)</f>
        <v/>
      </c>
      <c r="G17" s="31">
        <f>ROUND(G16*Assumptions!B9,0)</f>
        <v/>
      </c>
      <c r="H17" s="31">
        <f>ROUND(H16*Assumptions!B9,0)</f>
        <v/>
      </c>
      <c r="I17" s="31">
        <f>ROUND(I16*Assumptions!B9,0)</f>
        <v/>
      </c>
      <c r="J17" s="31">
        <f>ROUND(J16*Assumptions!B9,0)</f>
        <v/>
      </c>
      <c r="K17" s="31">
        <f>ROUND(K16*Assumptions!B9,0)</f>
        <v/>
      </c>
      <c r="L17" s="31">
        <f>ROUND(L16*Assumptions!B9,0)</f>
        <v/>
      </c>
      <c r="M17" s="31">
        <f>ROUND(M16*Assumptions!B9,0)</f>
        <v/>
      </c>
      <c r="N17" s="31">
        <f>ROUND(N16*Assumptions!B9,0)</f>
        <v/>
      </c>
      <c r="O17" s="31">
        <f>ROUND(O16*Assumptions!B9,0)</f>
        <v/>
      </c>
      <c r="P17" s="31">
        <f>ROUND(P16*Assumptions!B9,0)</f>
        <v/>
      </c>
      <c r="Q17" s="31">
        <f>ROUND(Q16*Assumptions!B9,0)</f>
        <v/>
      </c>
      <c r="R17" s="31">
        <f>ROUND(R16*Assumptions!B9,0)</f>
        <v/>
      </c>
      <c r="S17" s="31">
        <f>ROUND(S16*Assumptions!B9,0)</f>
        <v/>
      </c>
      <c r="T17" s="31">
        <f>ROUND(T16*Assumptions!B9,0)</f>
        <v/>
      </c>
      <c r="U17" s="31">
        <f>ROUND(U16*Assumptions!B9,0)</f>
        <v/>
      </c>
      <c r="V17" s="31">
        <f>ROUND(V16*Assumptions!B9,0)</f>
        <v/>
      </c>
      <c r="W17" s="31">
        <f>ROUND(W16*Assumptions!B9,0)</f>
        <v/>
      </c>
      <c r="X17" s="31">
        <f>ROUND(X16*Assumptions!B9,0)</f>
        <v/>
      </c>
      <c r="Y17" s="31">
        <f>ROUND(Y16*Assumptions!B9,0)</f>
        <v/>
      </c>
    </row>
    <row r="18">
      <c r="A18" s="5" t="inlineStr">
        <is>
          <t xml:space="preserve">  Pro Subs (38%)</t>
        </is>
      </c>
      <c r="B18" s="31">
        <f>ROUND(B16*Assumptions!B10,0)</f>
        <v/>
      </c>
      <c r="C18" s="31">
        <f>ROUND(C16*Assumptions!B10,0)</f>
        <v/>
      </c>
      <c r="D18" s="31">
        <f>ROUND(D16*Assumptions!B10,0)</f>
        <v/>
      </c>
      <c r="E18" s="31">
        <f>ROUND(E16*Assumptions!B10,0)</f>
        <v/>
      </c>
      <c r="F18" s="31">
        <f>ROUND(F16*Assumptions!B10,0)</f>
        <v/>
      </c>
      <c r="G18" s="31">
        <f>ROUND(G16*Assumptions!B10,0)</f>
        <v/>
      </c>
      <c r="H18" s="31">
        <f>ROUND(H16*Assumptions!B10,0)</f>
        <v/>
      </c>
      <c r="I18" s="31">
        <f>ROUND(I16*Assumptions!B10,0)</f>
        <v/>
      </c>
      <c r="J18" s="31">
        <f>ROUND(J16*Assumptions!B10,0)</f>
        <v/>
      </c>
      <c r="K18" s="31">
        <f>ROUND(K16*Assumptions!B10,0)</f>
        <v/>
      </c>
      <c r="L18" s="31">
        <f>ROUND(L16*Assumptions!B10,0)</f>
        <v/>
      </c>
      <c r="M18" s="31">
        <f>ROUND(M16*Assumptions!B10,0)</f>
        <v/>
      </c>
      <c r="N18" s="31">
        <f>ROUND(N16*Assumptions!B10,0)</f>
        <v/>
      </c>
      <c r="O18" s="31">
        <f>ROUND(O16*Assumptions!B10,0)</f>
        <v/>
      </c>
      <c r="P18" s="31">
        <f>ROUND(P16*Assumptions!B10,0)</f>
        <v/>
      </c>
      <c r="Q18" s="31">
        <f>ROUND(Q16*Assumptions!B10,0)</f>
        <v/>
      </c>
      <c r="R18" s="31">
        <f>ROUND(R16*Assumptions!B10,0)</f>
        <v/>
      </c>
      <c r="S18" s="31">
        <f>ROUND(S16*Assumptions!B10,0)</f>
        <v/>
      </c>
      <c r="T18" s="31">
        <f>ROUND(T16*Assumptions!B10,0)</f>
        <v/>
      </c>
      <c r="U18" s="31">
        <f>ROUND(U16*Assumptions!B10,0)</f>
        <v/>
      </c>
      <c r="V18" s="31">
        <f>ROUND(V16*Assumptions!B10,0)</f>
        <v/>
      </c>
      <c r="W18" s="31">
        <f>ROUND(W16*Assumptions!B10,0)</f>
        <v/>
      </c>
      <c r="X18" s="31">
        <f>ROUND(X16*Assumptions!B10,0)</f>
        <v/>
      </c>
      <c r="Y18" s="31">
        <f>ROUND(Y16*Assumptions!B10,0)</f>
        <v/>
      </c>
    </row>
    <row r="19">
      <c r="A19" s="5" t="inlineStr">
        <is>
          <t xml:space="preserve">  Premium Subs (10%)</t>
        </is>
      </c>
      <c r="B19" s="31">
        <f>MAX(0,B16-B17-B18)</f>
        <v/>
      </c>
      <c r="C19" s="31">
        <f>MAX(0,C16-C17-C18)</f>
        <v/>
      </c>
      <c r="D19" s="31">
        <f>MAX(0,D16-D17-D18)</f>
        <v/>
      </c>
      <c r="E19" s="31">
        <f>MAX(0,E16-E17-E18)</f>
        <v/>
      </c>
      <c r="F19" s="31">
        <f>MAX(0,F16-F17-F18)</f>
        <v/>
      </c>
      <c r="G19" s="31">
        <f>MAX(0,G16-G17-G18)</f>
        <v/>
      </c>
      <c r="H19" s="31">
        <f>MAX(0,H16-H17-H18)</f>
        <v/>
      </c>
      <c r="I19" s="31">
        <f>MAX(0,I16-I17-I18)</f>
        <v/>
      </c>
      <c r="J19" s="31">
        <f>MAX(0,J16-J17-J18)</f>
        <v/>
      </c>
      <c r="K19" s="31">
        <f>MAX(0,K16-K17-K18)</f>
        <v/>
      </c>
      <c r="L19" s="31">
        <f>MAX(0,L16-L17-L18)</f>
        <v/>
      </c>
      <c r="M19" s="31">
        <f>MAX(0,M16-M17-M18)</f>
        <v/>
      </c>
      <c r="N19" s="31">
        <f>MAX(0,N16-N17-N18)</f>
        <v/>
      </c>
      <c r="O19" s="31">
        <f>MAX(0,O16-O17-O18)</f>
        <v/>
      </c>
      <c r="P19" s="31">
        <f>MAX(0,P16-P17-P18)</f>
        <v/>
      </c>
      <c r="Q19" s="31">
        <f>MAX(0,Q16-Q17-Q18)</f>
        <v/>
      </c>
      <c r="R19" s="31">
        <f>MAX(0,R16-R17-R18)</f>
        <v/>
      </c>
      <c r="S19" s="31">
        <f>MAX(0,S16-S17-S18)</f>
        <v/>
      </c>
      <c r="T19" s="31">
        <f>MAX(0,T16-T17-T18)</f>
        <v/>
      </c>
      <c r="U19" s="31">
        <f>MAX(0,U16-U17-U18)</f>
        <v/>
      </c>
      <c r="V19" s="31">
        <f>MAX(0,V16-V17-V18)</f>
        <v/>
      </c>
      <c r="W19" s="31">
        <f>MAX(0,W16-W17-W18)</f>
        <v/>
      </c>
      <c r="X19" s="31">
        <f>MAX(0,X16-X17-X18)</f>
        <v/>
      </c>
      <c r="Y19" s="31">
        <f>MAX(0,Y16-Y17-Y18)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6B4A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5" customWidth="1" min="4" max="4"/>
    <col width="40" customWidth="1" min="5" max="5"/>
  </cols>
  <sheetData>
    <row r="1">
      <c r="A1" s="1" t="inlineStr">
        <is>
          <t>alche — Decision Log (D1-D11)</t>
        </is>
      </c>
    </row>
    <row r="2">
      <c r="A2" s="2" t="inlineStr">
        <is>
          <t>All decisions from P&amp;L session, 2026-02-23</t>
        </is>
      </c>
    </row>
    <row r="4">
      <c r="A4" s="4" t="inlineStr">
        <is>
          <t>#</t>
        </is>
      </c>
      <c r="B4" s="4" t="inlineStr">
        <is>
          <t>Decision</t>
        </is>
      </c>
      <c r="C4" s="4" t="inlineStr">
        <is>
          <t>Choice Made</t>
        </is>
      </c>
      <c r="D4" s="4" t="inlineStr">
        <is>
          <t>Old Value</t>
        </is>
      </c>
      <c r="E4" s="4" t="inlineStr">
        <is>
          <t>P&amp;L Impact</t>
        </is>
      </c>
    </row>
    <row r="5">
      <c r="A5" s="34" t="inlineStr">
        <is>
          <t>D1</t>
        </is>
      </c>
      <c r="B5" s="35" t="inlineStr">
        <is>
          <t>Doctor Revenue</t>
        </is>
      </c>
      <c r="C5" s="35" t="inlineStr">
        <is>
          <t>C. SaaS EUR 99/mo × 20 clinics</t>
        </is>
      </c>
      <c r="D5" s="35" t="inlineStr">
        <is>
          <t>EUR 150/mo × 865</t>
        </is>
      </c>
      <c r="E5" s="35" t="inlineStr">
        <is>
          <t>Revenue -75%; legally safe (StGB §299a)</t>
        </is>
      </c>
    </row>
    <row r="6">
      <c r="A6" s="34" t="inlineStr">
        <is>
          <t>D2</t>
        </is>
      </c>
      <c r="B6" s="35" t="inlineStr">
        <is>
          <t>Restaurant Revenue</t>
        </is>
      </c>
      <c r="C6" s="35" t="inlineStr">
        <is>
          <t>B. Phase 2 (500+ users)</t>
        </is>
      </c>
      <c r="D6" s="35" t="inlineStr">
        <is>
          <t>EUR 1.50/cover M6+</t>
        </is>
      </c>
      <c r="E6" s="35" t="inlineStr">
        <is>
          <t>EUR 0 all 24 months</t>
        </is>
      </c>
    </row>
    <row r="7">
      <c r="A7" s="34" t="inlineStr">
        <is>
          <t>D3</t>
        </is>
      </c>
      <c r="B7" s="35" t="inlineStr">
        <is>
          <t>CGM Hardware</t>
        </is>
      </c>
      <c r="C7" s="35" t="inlineStr">
        <is>
          <t>A. Software-Only BYOD</t>
        </is>
      </c>
      <c r="D7" s="35" t="inlineStr">
        <is>
          <t>EUR 130 × units</t>
        </is>
      </c>
      <c r="E7" s="35" t="inlineStr">
        <is>
          <t>Removed; margin 80-90%</t>
        </is>
      </c>
    </row>
    <row r="8">
      <c r="A8" s="34" t="inlineStr">
        <is>
          <t>D4</t>
        </is>
      </c>
      <c r="B8" s="35" t="inlineStr">
        <is>
          <t>Physical Space</t>
        </is>
      </c>
      <c r="C8" s="35" t="inlineStr">
        <is>
          <t>A. Smoothie bar + space</t>
        </is>
      </c>
      <c r="D8" s="35" t="inlineStr">
        <is>
          <t>EUR 0</t>
        </is>
      </c>
      <c r="E8" s="35" t="inlineStr">
        <is>
          <t>New rev + EUR 2,500/mo rent + CapEx</t>
        </is>
      </c>
    </row>
    <row r="9">
      <c r="A9" s="34" t="inlineStr">
        <is>
          <t>D5</t>
        </is>
      </c>
      <c r="B9" s="35" t="inlineStr">
        <is>
          <t>CapEx Section</t>
        </is>
      </c>
      <c r="C9" s="35" t="inlineStr">
        <is>
          <t>Yes, include</t>
        </is>
      </c>
      <c r="D9" s="35" t="inlineStr">
        <is>
          <t>All OpEx</t>
        </is>
      </c>
      <c r="E9" s="35" t="inlineStr">
        <is>
          <t>EUR 51,000 total</t>
        </is>
      </c>
    </row>
    <row r="10">
      <c r="A10" s="34" t="inlineStr">
        <is>
          <t>D6</t>
        </is>
      </c>
      <c r="B10" s="35" t="inlineStr">
        <is>
          <t>AI Cost Model</t>
        </is>
      </c>
      <c r="C10" s="35" t="inlineStr">
        <is>
          <t>Both internal + user-facing</t>
        </is>
      </c>
      <c r="D10" s="35" t="inlineStr">
        <is>
          <t>EUR 210 + EUR 499 Terra</t>
        </is>
      </c>
      <c r="E10" s="35" t="inlineStr">
        <is>
          <t>EUR 210 + EUR 0.35/sub (R9)</t>
        </is>
      </c>
    </row>
    <row r="11">
      <c r="A11" s="34" t="inlineStr">
        <is>
          <t>D7</t>
        </is>
      </c>
      <c r="B11" s="35" t="inlineStr">
        <is>
          <t>Product Waste</t>
        </is>
      </c>
      <c r="C11" s="35" t="inlineStr">
        <is>
          <t>Category-weighted</t>
        </is>
      </c>
      <c r="D11" s="35" t="inlineStr">
        <is>
          <t>Flat 5%</t>
        </is>
      </c>
      <c r="E11" s="35" t="inlineStr">
        <is>
          <t>5.5% blended</t>
        </is>
      </c>
    </row>
    <row r="12">
      <c r="A12" s="34" t="inlineStr">
        <is>
          <t>D8</t>
        </is>
      </c>
      <c r="B12" s="35" t="inlineStr">
        <is>
          <t>Terra CGM API</t>
        </is>
      </c>
      <c r="C12" s="35" t="inlineStr">
        <is>
          <t>Defer — free HealthKit</t>
        </is>
      </c>
      <c r="D12" s="35" t="inlineStr">
        <is>
          <t>EUR 499/mo M6+</t>
        </is>
      </c>
      <c r="E12" s="35" t="inlineStr">
        <is>
          <t>Saves EUR 9,481</t>
        </is>
      </c>
    </row>
    <row r="13">
      <c r="A13" s="34" t="inlineStr">
        <is>
          <t>D9</t>
        </is>
      </c>
      <c r="B13" s="35" t="inlineStr">
        <is>
          <t>SaaS Stack</t>
        </is>
      </c>
      <c r="C13" s="35" t="inlineStr">
        <is>
          <t>Itemized (R8)</t>
        </is>
      </c>
      <c r="D13" s="35" t="inlineStr">
        <is>
          <t>EUR 350→1800</t>
        </is>
      </c>
      <c r="E13" s="35" t="inlineStr">
        <is>
          <t>EUR 338→500→750</t>
        </is>
      </c>
    </row>
    <row r="14">
      <c r="A14" s="34" t="inlineStr">
        <is>
          <t>D10</t>
        </is>
      </c>
      <c r="B14" s="35" t="inlineStr">
        <is>
          <t>Menu Analysis</t>
        </is>
      </c>
      <c r="C14" s="35" t="inlineStr">
        <is>
          <t>EUR 0 — founders do it</t>
        </is>
      </c>
      <c r="D14" s="35" t="inlineStr">
        <is>
          <t>EUR 500/mo</t>
        </is>
      </c>
      <c r="E14" s="35" t="inlineStr">
        <is>
          <t>Saves EUR 12,000</t>
        </is>
      </c>
    </row>
    <row r="15">
      <c r="A15" s="34" t="inlineStr">
        <is>
          <t>D11</t>
        </is>
      </c>
      <c r="B15" s="35" t="inlineStr">
        <is>
          <t>Retail Products</t>
        </is>
      </c>
      <c r="C15" s="35" t="inlineStr">
        <is>
          <t>EUR 49 validated; COGS EUR 23.50</t>
        </is>
      </c>
      <c r="D15" s="35" t="inlineStr">
        <is>
          <t>EUR 11.50 COGS</t>
        </is>
      </c>
      <c r="E15" s="35" t="inlineStr">
        <is>
          <t>Margin 76% → 52% (R10)</t>
        </is>
      </c>
    </row>
    <row r="18">
      <c r="A18" s="9" t="inlineStr">
        <is>
          <t>NEW LINES ADDED (7-Persona Audit)</t>
        </is>
      </c>
      <c r="B18" s="26" t="n"/>
      <c r="C18" s="26" t="n"/>
      <c r="D18" s="26" t="n"/>
      <c r="E18" s="26" t="n"/>
    </row>
    <row r="19">
      <c r="A19" s="4" t="inlineStr">
        <is>
          <t>#</t>
        </is>
      </c>
      <c r="B19" s="4" t="inlineStr">
        <is>
          <t>Line Item</t>
        </is>
      </c>
      <c r="C19" s="4" t="inlineStr">
        <is>
          <t>Amount</t>
        </is>
      </c>
      <c r="D19" s="4" t="inlineStr">
        <is>
          <t>Source Persona</t>
        </is>
      </c>
      <c r="E19" s="4" t="inlineStr">
        <is>
          <t>Rationale</t>
        </is>
      </c>
    </row>
    <row r="20">
      <c r="A20" s="36" t="inlineStr">
        <is>
          <t>P1</t>
        </is>
      </c>
      <c r="B20" s="35" t="inlineStr">
        <is>
          <t>Utilities (Strom/Gas/Wasser)</t>
        </is>
      </c>
      <c r="C20" s="35" t="inlineStr">
        <is>
          <t>EUR 400/mo from M4</t>
        </is>
      </c>
      <c r="D20" s="35" t="inlineStr">
        <is>
          <t>Operations Manager</t>
        </is>
      </c>
      <c r="E20" s="35" t="inlineStr">
        <is>
          <t>Can't run smoothie bar without electricity</t>
        </is>
      </c>
    </row>
    <row r="21">
      <c r="A21" s="36" t="inlineStr">
        <is>
          <t>P2</t>
        </is>
      </c>
      <c r="B21" s="35" t="inlineStr">
        <is>
          <t>Cleaning/Maintenance</t>
        </is>
      </c>
      <c r="C21" s="35" t="inlineStr">
        <is>
          <t>EUR 300/mo from M4</t>
        </is>
      </c>
      <c r="D21" s="35" t="inlineStr">
        <is>
          <t>Operations Manager</t>
        </is>
      </c>
      <c r="E21" s="35" t="inlineStr">
        <is>
          <t>Physical space upkeep</t>
        </is>
      </c>
    </row>
    <row r="22">
      <c r="A22" s="36" t="inlineStr">
        <is>
          <t>P3</t>
        </is>
      </c>
      <c r="B22" s="35" t="inlineStr">
        <is>
          <t>BG Insurance</t>
        </is>
      </c>
      <c r="C22" s="35" t="inlineStr">
        <is>
          <t>~1.5% of gross payroll</t>
        </is>
      </c>
      <c r="D22" s="35" t="inlineStr">
        <is>
          <t>Steuerberater</t>
        </is>
      </c>
      <c r="E22" s="35" t="inlineStr">
        <is>
          <t>MANDATORY German employer insurance</t>
        </is>
      </c>
    </row>
    <row r="23">
      <c r="A23" s="36" t="inlineStr">
        <is>
          <t>P4</t>
        </is>
      </c>
      <c r="B23" s="35" t="inlineStr">
        <is>
          <t>Contingency Buffer</t>
        </is>
      </c>
      <c r="C23" s="35" t="inlineStr">
        <is>
          <t>10% of OpEx</t>
        </is>
      </c>
      <c r="D23" s="35" t="inlineStr">
        <is>
          <t>Angel Investor</t>
        </is>
      </c>
      <c r="E23" s="35" t="inlineStr">
        <is>
          <t>Every serious investor expects this</t>
        </is>
      </c>
    </row>
    <row r="24">
      <c r="A24" s="36" t="inlineStr">
        <is>
          <t>P5</t>
        </is>
      </c>
      <c r="B24" s="35" t="inlineStr">
        <is>
          <t>Refund/Returns Reserve</t>
        </is>
      </c>
      <c r="C24" s="35" t="inlineStr">
        <is>
          <t>1.5% of product revenue</t>
        </is>
      </c>
      <c r="D24" s="35" t="inlineStr">
        <is>
          <t>CFO/FP&amp;A</t>
        </is>
      </c>
      <c r="E24" s="35" t="inlineStr">
        <is>
          <t>Physical product returns</t>
        </is>
      </c>
    </row>
    <row r="25">
      <c r="A25" s="36" t="inlineStr">
        <is>
          <t>P6</t>
        </is>
      </c>
      <c r="B25" s="35" t="inlineStr">
        <is>
          <t>IHK Berlin</t>
        </is>
      </c>
      <c r="C25" s="35" t="inlineStr">
        <is>
          <t>EUR 25/mo (EUR 300/yr)</t>
        </is>
      </c>
      <c r="D25" s="35" t="inlineStr">
        <is>
          <t>Steuerberater</t>
        </is>
      </c>
      <c r="E25" s="35" t="inlineStr">
        <is>
          <t>Mandatory chamber membership</t>
        </is>
      </c>
    </row>
    <row r="26">
      <c r="A26" s="36" t="inlineStr">
        <is>
          <t>P7</t>
        </is>
      </c>
      <c r="B26" s="35" t="inlineStr">
        <is>
          <t>Recruitment Cost</t>
        </is>
      </c>
      <c r="C26" s="35" t="inlineStr">
        <is>
          <t>EUR 5,000 one-off M17</t>
        </is>
      </c>
      <c r="D26" s="35" t="inlineStr">
        <is>
          <t>HR Manager</t>
        </is>
      </c>
      <c r="E26" s="35" t="inlineStr">
        <is>
          <t>CTO job posting / headhunter</t>
        </is>
      </c>
    </row>
    <row r="27">
      <c r="A27" s="36" t="inlineStr">
        <is>
          <t>P8</t>
        </is>
      </c>
      <c r="B27" s="35" t="inlineStr">
        <is>
          <t>POS System</t>
        </is>
      </c>
      <c r="C27" s="35" t="inlineStr">
        <is>
          <t>EUR 50/mo from M4</t>
        </is>
      </c>
      <c r="D27" s="35" t="inlineStr">
        <is>
          <t>Operations Manager</t>
        </is>
      </c>
      <c r="E27" s="35" t="inlineStr">
        <is>
          <t>Cash register for space</t>
        </is>
      </c>
    </row>
    <row r="28">
      <c r="A28" s="36" t="inlineStr">
        <is>
          <t>P9</t>
        </is>
      </c>
      <c r="B28" s="35" t="inlineStr">
        <is>
          <t>Depreciation</t>
        </is>
      </c>
      <c r="C28" s="35" t="inlineStr">
        <is>
          <t>CapEx / 36 months linear</t>
        </is>
      </c>
      <c r="D28" s="35" t="inlineStr">
        <is>
          <t>CFO/FP&amp;A</t>
        </is>
      </c>
      <c r="E28" s="35" t="inlineStr">
        <is>
          <t>Tax-accurate P&amp;L presentation</t>
        </is>
      </c>
    </row>
    <row r="29">
      <c r="A29" s="36" t="inlineStr">
        <is>
          <t>P10</t>
        </is>
      </c>
      <c r="B29" s="35" t="inlineStr">
        <is>
          <t>Permits &amp; Licenses</t>
        </is>
      </c>
      <c r="C29" s="35" t="inlineStr">
        <is>
          <t>EUR 500 one-off M3</t>
        </is>
      </c>
      <c r="D29" s="35" t="inlineStr">
        <is>
          <t>Food Inspector</t>
        </is>
      </c>
      <c r="E29" s="35" t="inlineStr">
        <is>
          <t>Lebensmittelüberwachung</t>
        </is>
      </c>
    </row>
    <row r="30">
      <c r="A30" s="36" t="inlineStr">
        <is>
          <t>P11</t>
        </is>
      </c>
      <c r="B30" s="35" t="inlineStr">
        <is>
          <t>Space Staff</t>
        </is>
      </c>
      <c r="C30" s="35" t="inlineStr">
        <is>
          <t>EUR 1,501/mo from M4</t>
        </is>
      </c>
      <c r="D30" s="35" t="inlineStr">
        <is>
          <t>Operations Manager</t>
        </is>
      </c>
      <c r="E30" s="35" t="inlineStr">
        <is>
          <t>Part-time for smoothie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2026-02-23T22:23:45Z</dcterms:created>
  <dcterms:modified xmlns:dcterms="http://purl.org/dc/terms/" xmlns:xsi="http://www.w3.org/2001/XMLSchema-instance" xsi:type="dcterms:W3CDTF">2026-02-23T22:23:45Z</dcterms:modified>
</cp:coreProperties>
</file>