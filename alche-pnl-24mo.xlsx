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&amp;L" sheetId="1" r:id="rId4"/>
    <sheet state="visible" name="Assumptions" sheetId="2" r:id="rId5"/>
    <sheet state="visible" name="Growth Curves" sheetId="3" r:id="rId6"/>
    <sheet state="visible" name="Cash Flow" sheetId="4" r:id="rId7"/>
    <sheet state="visible" name="Unit Economics" sheetId="5" r:id="rId8"/>
    <sheet state="visible" name="Scenarios" sheetId="6" r:id="rId9"/>
    <sheet state="visible" name="Decisions" sheetId="7" r:id="rId10"/>
  </sheets>
  <definedNames/>
  <calcPr/>
  <extLst>
    <ext uri="GoogleSheetsCustomDataVersion2">
      <go:sheetsCustomData xmlns:go="http://customooxmlschemas.google.com/" r:id="rId11" roundtripDataChecksum="9Vm8gTGDFcZ2zeF0Rd0Du8JMx531LUI2UbO5lyfgZ8k="/>
    </ext>
  </extLst>
</workbook>
</file>

<file path=xl/sharedStrings.xml><?xml version="1.0" encoding="utf-8"?>
<sst xmlns="http://schemas.openxmlformats.org/spreadsheetml/2006/main" count="735" uniqueCount="644">
  <si>
    <t xml:space="preserve">alche — 24-Month P&amp;L </t>
  </si>
  <si>
    <t>Pre-Seed | EUR 500K @ EUR 2.5M Cap | v4: Annual subs + B2B + Gift Cards + Corrected App/Rent costs</t>
  </si>
  <si>
    <t>All amounts in EUR net of VAT. Click any cell to see the formula.</t>
  </si>
  <si>
    <t>Budget P&amp;L (EUR)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</si>
  <si>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</si>
  <si>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</si>
  <si>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</si>
  <si>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</si>
  <si>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</si>
  <si>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</si>
  <si>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</si>
  <si>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</si>
  <si>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</si>
  <si>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</si>
  <si>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</si>
  <si>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</si>
  <si>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</si>
  <si>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</si>
  <si>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</si>
  <si>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</si>
  <si>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</si>
  <si>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</si>
  <si>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</si>
  <si>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</si>
  <si>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</si>
  <si>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</si>
  <si>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</si>
  <si>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</si>
  <si>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TOTAL</t>
  </si>
  <si>
    <t>SUBSCRIBER METRICS</t>
  </si>
  <si>
    <t xml:space="preserve">  New Subs Added</t>
  </si>
  <si>
    <t xml:space="preserve">  Churned Subs</t>
  </si>
  <si>
    <t xml:space="preserve">  Total Subscribers</t>
  </si>
  <si>
    <t xml:space="preserve">    Core (52%)</t>
  </si>
  <si>
    <t xml:space="preserve">    Pro (38%)</t>
  </si>
  <si>
    <t xml:space="preserve">    Premium (10%)</t>
  </si>
  <si>
    <t>INCOME</t>
  </si>
  <si>
    <t xml:space="preserve">  Retail Products (D11: EUR 49 validated, COGS EUR 23.50)</t>
  </si>
  <si>
    <t xml:space="preserve">    Units sold</t>
  </si>
  <si>
    <t xml:space="preserve">    Price/unit</t>
  </si>
  <si>
    <t xml:space="preserve">    Revenue</t>
  </si>
  <si>
    <t xml:space="preserve">  LED Therapy (Free with Smoothie)</t>
  </si>
  <si>
    <t xml:space="preserve">    Sessions (self-service)</t>
  </si>
  <si>
    <t xml:space="preserve">    Price/session</t>
  </si>
  <si>
    <t xml:space="preserve">    Revenue (EUR 0 — free amenity)</t>
  </si>
  <si>
    <t xml:space="preserve">  Smoothie Bar</t>
  </si>
  <si>
    <t xml:space="preserve">    Price/smoothie</t>
  </si>
  <si>
    <t xml:space="preserve">  Community Events</t>
  </si>
  <si>
    <t xml:space="preserve">    Event count</t>
  </si>
  <si>
    <t xml:space="preserve">    Avg attendees/event</t>
  </si>
  <si>
    <t xml:space="preserve">    Total attendees</t>
  </si>
  <si>
    <t xml:space="preserve">    Price/ticket</t>
  </si>
  <si>
    <t xml:space="preserve">  Doctor SaaS (D1: EUR 99/mo)</t>
  </si>
  <si>
    <t xml:space="preserve">    Clinics listed</t>
  </si>
  <si>
    <t xml:space="preserve">    Fee/month</t>
  </si>
  <si>
    <t xml:space="preserve">  CGM Referral Commission (D3: EUR 15/user/mo — Premium 3-mo gate or add-on)</t>
  </si>
  <si>
    <t xml:space="preserve">  Restaurant (D2: Phase 2 — EUR 0)</t>
  </si>
  <si>
    <t xml:space="preserve">  Subscriptions (EX-01: blended monthly + annual recognition)</t>
  </si>
  <si>
    <t xml:space="preserve">    Core (blended: monthly EUR 19 / annual EUR 190/yr)</t>
  </si>
  <si>
    <t xml:space="preserve">    Pro (blended: monthly EUR 49 / annual EUR 490/yr)</t>
  </si>
  <si>
    <t xml:space="preserve">    Premium (blended: monthly EUR 99 / annual EUR 990/yr)</t>
  </si>
  <si>
    <t xml:space="preserve">    Subscription MRR (recognized)</t>
  </si>
  <si>
    <t xml:space="preserve">    [INFO] Annual Cash Collected (upfront, not P&amp;L revenue)</t>
  </si>
  <si>
    <t xml:space="preserve">  B2B Corporate Wellness (EX-02: BGM EUR 39/PEPM)</t>
  </si>
  <si>
    <t xml:space="preserve">  Gift Cards (EX-03: EUR 441/mo net, 10% breakage applied)</t>
  </si>
  <si>
    <t>TOTAL INCOME</t>
  </si>
  <si>
    <t>COST OF GOODS SOLD (COGS)</t>
  </si>
  <si>
    <t xml:space="preserve">  Retail COGS</t>
  </si>
  <si>
    <t xml:space="preserve">    Product cost (EUR 23.50/unit)</t>
  </si>
  <si>
    <t xml:space="preserve">    Waste/spoilage (5.5%)</t>
  </si>
  <si>
    <t xml:space="preserve">    3PL fulfillment (EUR 2.50/unit)</t>
  </si>
  <si>
    <t xml:space="preserve">  LED COGS (free — no practitioner)</t>
  </si>
  <si>
    <t xml:space="preserve">  Smoothie Bar COGS</t>
  </si>
  <si>
    <t xml:space="preserve">    Ingredients + packaging (35%)</t>
  </si>
  <si>
    <t xml:space="preserve">  Events &amp; Ticketing</t>
  </si>
  <si>
    <t xml:space="preserve">  Doctor Verification (EUR 25/new)</t>
  </si>
  <si>
    <t xml:space="preserve">  AI API — User-Facing (EUR 0.35/sub)</t>
  </si>
  <si>
    <t xml:space="preserve">  Refund/Returns Reserve (1.5%)</t>
  </si>
  <si>
    <t xml:space="preserve">  Bad Debt Provision (0.5%)</t>
  </si>
  <si>
    <t xml:space="preserve">  Stripe Processing (2.9%)</t>
  </si>
  <si>
    <t>TOTAL COGS</t>
  </si>
  <si>
    <t>GROSS PROFIT</t>
  </si>
  <si>
    <t xml:space="preserve">  Gross Margin %</t>
  </si>
  <si>
    <t>OPERATING EXPENSES</t>
  </si>
  <si>
    <t xml:space="preserve">  Payroll</t>
  </si>
  <si>
    <t xml:space="preserve">    Timu (Cofounder &amp; CTO)</t>
  </si>
  <si>
    <t xml:space="preserve">    Daria (Cofounder &amp; PR)</t>
  </si>
  <si>
    <t xml:space="preserve">    Space Staff (M4+)</t>
  </si>
  <si>
    <t xml:space="preserve">    Partner Mgr (M6+)</t>
  </si>
  <si>
    <t xml:space="preserve">    CTO (M18+)</t>
  </si>
  <si>
    <t xml:space="preserve">    BG Insurance (0.5% payroll)</t>
  </si>
  <si>
    <t xml:space="preserve">    KSK Levy (4.9% on freelancers)</t>
  </si>
  <si>
    <t xml:space="preserve">    Payroll Total</t>
  </si>
  <si>
    <t xml:space="preserve">  R&amp;D (EX-06: app contractor EUR 12K/mo from M5)</t>
  </si>
  <si>
    <t xml:space="preserve">    App Contractor M5+ (EUR 12K/mo — EX-06)</t>
  </si>
  <si>
    <t xml:space="preserve">    R&amp;D Total</t>
  </si>
  <si>
    <t xml:space="preserve">  Sales &amp; Marketing</t>
  </si>
  <si>
    <t xml:space="preserve">    Paid Ads</t>
  </si>
  <si>
    <t xml:space="preserve">    Content Creation</t>
  </si>
  <si>
    <t xml:space="preserve">    Influencer Seeding (M7+)</t>
  </si>
  <si>
    <t xml:space="preserve">    S&amp;M Total</t>
  </si>
  <si>
    <t xml:space="preserve">  General &amp; Admin</t>
  </si>
  <si>
    <t xml:space="preserve">    Rent (co-work M1-3 / space M4+)</t>
  </si>
  <si>
    <t xml:space="preserve">    Nebenkosten M4+ (P3)</t>
  </si>
  <si>
    <t xml:space="preserve">    Steuerberater</t>
  </si>
  <si>
    <t xml:space="preserve">    General Liability Insurance</t>
  </si>
  <si>
    <t xml:space="preserve">    D&amp;O Insurance (P6)</t>
  </si>
  <si>
    <t xml:space="preserve">    Cyber Insurance (P6)</t>
  </si>
  <si>
    <t xml:space="preserve">    Product Liability Insurance (P6)</t>
  </si>
  <si>
    <t xml:space="preserve">    Product Recall Insurance M4+ (P4)</t>
  </si>
  <si>
    <t xml:space="preserve">    Utilities (M4+)</t>
  </si>
  <si>
    <t xml:space="preserve">    Cleaning/Maintenance (M4+)</t>
  </si>
  <si>
    <t xml:space="preserve">    Maintenance Reserve M4+ (P3)</t>
  </si>
  <si>
    <t xml:space="preserve">    Waste Disposal M4+ (P3)</t>
  </si>
  <si>
    <t xml:space="preserve">    WiFi/Internet M4+ (P3)</t>
  </si>
  <si>
    <t xml:space="preserve">    POS System (M4+)</t>
  </si>
  <si>
    <t xml:space="preserve">    DSB / ext. DPO (P6: mandatory)</t>
  </si>
  <si>
    <t xml:space="preserve">    CMP Cookie Tool (P6)</t>
  </si>
  <si>
    <t xml:space="preserve">    Food Safety Compliance M4+ (P4)</t>
  </si>
  <si>
    <t xml:space="preserve">    IHK Berlin (P2: EUR 120/yr)</t>
  </si>
  <si>
    <t xml:space="preserve">    GEMA M4+ (P2)</t>
  </si>
  <si>
    <t xml:space="preserve">    Rundfunkbeitrag M4+ (P2 — fix: starts when space opens)</t>
  </si>
  <si>
    <t xml:space="preserve">    Verpackungsgesetz (P2)</t>
  </si>
  <si>
    <t xml:space="preserve">    Bank Fees (P5)</t>
  </si>
  <si>
    <t xml:space="preserve">    Permits &amp; Licenses (M3)</t>
  </si>
  <si>
    <t xml:space="preserve">    G&amp;A Total</t>
  </si>
  <si>
    <t xml:space="preserve">  Management &amp; APIs</t>
  </si>
  <si>
    <t xml:space="preserve">    SaaS Stack (D9)</t>
  </si>
  <si>
    <t xml:space="preserve">    Claude Max (internal)</t>
  </si>
  <si>
    <t xml:space="preserve">    Management Total</t>
  </si>
  <si>
    <t xml:space="preserve">  Travel</t>
  </si>
  <si>
    <t xml:space="preserve">    Investor Travel</t>
  </si>
  <si>
    <t xml:space="preserve">    Conferences (M7+)</t>
  </si>
  <si>
    <t xml:space="preserve">    Local Transport</t>
  </si>
  <si>
    <t xml:space="preserve">    Travel Total</t>
  </si>
  <si>
    <t xml:space="preserve">  Recruitment — CTO (EX-10: see CapEx contingency row)</t>
  </si>
  <si>
    <t xml:space="preserve">  CTO Onboarding/Equipment (M18) (P7)</t>
  </si>
  <si>
    <t xml:space="preserve">  OpEx (pre-contingency)</t>
  </si>
  <si>
    <t xml:space="preserve">  Contingency Buffer (10%)</t>
  </si>
  <si>
    <t>TOTAL OPEX</t>
  </si>
  <si>
    <t>PROFITABILITY BRIDGE</t>
  </si>
  <si>
    <t>EBITDA = Earnings Before Interest, Tax, Depreciation &amp; Amortization</t>
  </si>
  <si>
    <t xml:space="preserve">  Total Income</t>
  </si>
  <si>
    <t xml:space="preserve">  − Total COGS</t>
  </si>
  <si>
    <t xml:space="preserve">  = Gross Profit</t>
  </si>
  <si>
    <t xml:space="preserve">    Gross Margin %</t>
  </si>
  <si>
    <t xml:space="preserve">  − Total OpEx</t>
  </si>
  <si>
    <t xml:space="preserve">  = EBITDA</t>
  </si>
  <si>
    <t xml:space="preserve">    EBITDA Margin %</t>
  </si>
  <si>
    <t>CAPITAL EXPENDITURES (CapEx)</t>
  </si>
  <si>
    <t xml:space="preserve">  GmbH Formation (M1)</t>
  </si>
  <si>
    <t xml:space="preserve">  Legal Opinion HWG (M1)</t>
  </si>
  <si>
    <t xml:space="preserve">  R&amp;D Stability Testing (M1)</t>
  </si>
  <si>
    <t xml:space="preserve">  DPIA (M1) (P6: mandatory)</t>
  </si>
  <si>
    <t xml:space="preserve">  MDR Classification Opinion (M1) (P6)</t>
  </si>
  <si>
    <t xml:space="preserve">  Privacy Policy + ToS (M1) (P6)</t>
  </si>
  <si>
    <t xml:space="preserve">  App Design &amp; Development (M1)</t>
  </si>
  <si>
    <t xml:space="preserve">  Space Buildout (M3) (P3: was EUR 15K)</t>
  </si>
  <si>
    <t xml:space="preserve">  Kitchen Equipment (M3)</t>
  </si>
  <si>
    <t xml:space="preserve">  LED Devices (M3)</t>
  </si>
  <si>
    <t xml:space="preserve">  Fire Safety Equipment (M3) (P3)</t>
  </si>
  <si>
    <t xml:space="preserve">  Signage &amp; Branding (M3) (P3)</t>
  </si>
  <si>
    <t xml:space="preserve">  HACCP Plan Setup (M3) (P4)</t>
  </si>
  <si>
    <t xml:space="preserve">  Hygiene Training (M3) (P4)</t>
  </si>
  <si>
    <t xml:space="preserve">  Food Safety Equipment (M3) (P4)</t>
  </si>
  <si>
    <t xml:space="preserve">  Ablöse — Key Money (M3)</t>
  </si>
  <si>
    <t xml:space="preserve">  App MVP Build </t>
  </si>
  <si>
    <t xml:space="preserve">  POS Hardware + TSE M3 (EX-11: SumUp Kit, TSE module)</t>
  </si>
  <si>
    <t xml:space="preserve">  CTO Recruitment (Contingency) M14 (EX-10 — if network hire fails)</t>
  </si>
  <si>
    <t xml:space="preserve">  Depreciation (linear / 36mo, incl. v4 CapEx)</t>
  </si>
  <si>
    <t xml:space="preserve">  = EBIT (EBITDA − D&amp;A)</t>
  </si>
  <si>
    <t xml:space="preserve">    EBIT Margin %</t>
  </si>
  <si>
    <t>TOTAL CAPEX (cash)</t>
  </si>
  <si>
    <t>NET P&amp;L (before tax)</t>
  </si>
  <si>
    <t>TAX PROVISION (P2: ~30% when profitable)</t>
  </si>
  <si>
    <t xml:space="preserve">  Cumulative Pre-Tax P&amp;L</t>
  </si>
  <si>
    <t xml:space="preserve">  Tax Provision (~30%)</t>
  </si>
  <si>
    <t>NET P&amp;L (after tax)</t>
  </si>
  <si>
    <t>Cumulative Cash (EUR 500K start)</t>
  </si>
  <si>
    <t>KEY METRICS</t>
  </si>
  <si>
    <t xml:space="preserve">  Monthly Burn (if loss)</t>
  </si>
  <si>
    <t xml:space="preserve">  Revenue / Subscriber (Total ARPU)</t>
  </si>
  <si>
    <t xml:space="preserve">  Subscription ARPU (P5: actual)</t>
  </si>
  <si>
    <t xml:space="preserve">  Subscription MRR</t>
  </si>
  <si>
    <t xml:space="preserve">  Subscription % of Total Revenue</t>
  </si>
  <si>
    <t xml:space="preserve">  Months of Runway Remaining</t>
  </si>
  <si>
    <t>BREAK-EVEN INDICATORS</t>
  </si>
  <si>
    <t xml:space="preserve">  EBITDA Positive? (1=Yes)</t>
  </si>
  <si>
    <t xml:space="preserve">  Net P&amp;L Positive? (1=Yes)</t>
  </si>
  <si>
    <t xml:space="preserve">  Cash &gt; EUR 500K? (1=Yes)</t>
  </si>
  <si>
    <t xml:space="preserve">  EBITDA Break-Even Month</t>
  </si>
  <si>
    <t xml:space="preserve">  Net P&amp;L Break-Even Month</t>
  </si>
  <si>
    <t>alche — P&amp;L Assumptions v4</t>
  </si>
  <si>
    <t>Change any value here → P&amp;L auto-recalculates. All persona findings incorporated.</t>
  </si>
  <si>
    <t>SUBSCRIPTION MODEL</t>
  </si>
  <si>
    <t>Core tier price (EUR/mo)</t>
  </si>
  <si>
    <t>Entry tier</t>
  </si>
  <si>
    <t>Pro tier price (EUR/mo)</t>
  </si>
  <si>
    <t>Sweet spot</t>
  </si>
  <si>
    <t>Premium tier price (EUR/mo)</t>
  </si>
  <si>
    <t>Highest ARPU</t>
  </si>
  <si>
    <t>Monthly churn rate</t>
  </si>
  <si>
    <t>8% — locked data</t>
  </si>
  <si>
    <t>Core tier share</t>
  </si>
  <si>
    <t>52%</t>
  </si>
  <si>
    <t>Pro tier share</t>
  </si>
  <si>
    <t>38%</t>
  </si>
  <si>
    <t>Premium tier share</t>
  </si>
  <si>
    <t>10%</t>
  </si>
  <si>
    <t>SUBSCRIBER GROWTH (new subs/month)</t>
  </si>
  <si>
    <t>M1-M3</t>
  </si>
  <si>
    <t>Pre-launch — no app yet</t>
  </si>
  <si>
    <t>M4-M6</t>
  </si>
  <si>
    <t>Product launch</t>
  </si>
  <si>
    <t>M7-M9</t>
  </si>
  <si>
    <t>Growth acceleration</t>
  </si>
  <si>
    <t>M10-M12</t>
  </si>
  <si>
    <t>Marketing ramp</t>
  </si>
  <si>
    <t>M13-M18</t>
  </si>
  <si>
    <t>Scaling</t>
  </si>
  <si>
    <t>M19-M24</t>
  </si>
  <si>
    <t>Scaling phase</t>
  </si>
  <si>
    <t>PRODUCT PRICING</t>
  </si>
  <si>
    <t>Retail product price (EUR)</t>
  </si>
  <si>
    <t>R10 validated</t>
  </si>
  <si>
    <t>Retail product COGS (EUR/unit)</t>
  </si>
  <si>
    <t>R10: wholesale ~48% of retail</t>
  </si>
  <si>
    <t>LED session price (EUR)</t>
  </si>
  <si>
    <t>Free with smoothie purchase</t>
  </si>
  <si>
    <t>LED practitioner cost (EUR)</t>
  </si>
  <si>
    <t>Self-service — no practitioner</t>
  </si>
  <si>
    <t>Smoothie avg price (EUR)</t>
  </si>
  <si>
    <t>R2 Cost Analysis</t>
  </si>
  <si>
    <t>Smoothie COGS rate</t>
  </si>
  <si>
    <t>35% ingredients+packaging (R2)</t>
  </si>
  <si>
    <t>Event ticket price (EUR)</t>
  </si>
  <si>
    <t>Community events</t>
  </si>
  <si>
    <t>Event fixed cost (EUR)</t>
  </si>
  <si>
    <t>Venue per event</t>
  </si>
  <si>
    <t>Ticketing platform fee</t>
  </si>
  <si>
    <t>7% Luma/Eventbrite</t>
  </si>
  <si>
    <t>Doctor SaaS fee (EUR/mo)</t>
  </si>
  <si>
    <t>D1: StGB 299a safe</t>
  </si>
  <si>
    <t>Doctor verify cost (EUR)</t>
  </si>
  <si>
    <t>Per new doctor</t>
  </si>
  <si>
    <t>Doctor max clinics</t>
  </si>
  <si>
    <t>Cap M1-24</t>
  </si>
  <si>
    <t>COST RATES</t>
  </si>
  <si>
    <t>Waste — blended rate</t>
  </si>
  <si>
    <t>D7: capsules 4%, powders 7%</t>
  </si>
  <si>
    <t>3PL fulfillment (EUR/unit)</t>
  </si>
  <si>
    <t>Retail products only</t>
  </si>
  <si>
    <t>Stripe fee rate</t>
  </si>
  <si>
    <t>2.9%</t>
  </si>
  <si>
    <t>AI API per user (EUR/mo)</t>
  </si>
  <si>
    <t>D6: hybrid Claude+Gemini</t>
  </si>
  <si>
    <t>Refund/returns reserve</t>
  </si>
  <si>
    <t>1.5% of product revenue</t>
  </si>
  <si>
    <t>Bad debt provision</t>
  </si>
  <si>
    <t>P5: 0.5% of total revenue</t>
  </si>
  <si>
    <t>PAYROLL</t>
  </si>
  <si>
    <t>Founder gross salary (each)</t>
  </si>
  <si>
    <t>EUR 50K/yr (P7: viable)</t>
  </si>
  <si>
    <t>Employer multiplier</t>
  </si>
  <si>
    <t>P2/P7: incl. U1/U2/U3 (was 1.22)</t>
  </si>
  <si>
    <t>Space staff gross (M4+)</t>
  </si>
  <si>
    <t>Midijob ~25 hrs/wk</t>
  </si>
  <si>
    <t>Partner Mgr gross (M6+)</t>
  </si>
  <si>
    <t>EUR/mo</t>
  </si>
  <si>
    <t>CTO gross (M18+)</t>
  </si>
  <si>
    <t>EUR 78K — P7: below 25th pctile</t>
  </si>
  <si>
    <t>BG insurance rate</t>
  </si>
  <si>
    <t>P7: ~0.5% for office (was 1.5%)</t>
  </si>
  <si>
    <t>KSK levy rate</t>
  </si>
  <si>
    <t>P2: 4.9% on creative freelancer fees</t>
  </si>
  <si>
    <t>Recruitment CTO (M14, contingency)</t>
  </si>
  <si>
    <t>EX-10: EUR 19K if network hire fails; moved to M14</t>
  </si>
  <si>
    <t>CTO onboarding (M18)</t>
  </si>
  <si>
    <t>P7: equipment + setup</t>
  </si>
  <si>
    <t>FIXED OPERATING COSTS</t>
  </si>
  <si>
    <t>App maintenance retainer (legacy — see B136)</t>
  </si>
  <si>
    <t>EX-06: Superseded by contractor row; M5+ uses B136</t>
  </si>
  <si>
    <t>Claude Max (internal AI)</t>
  </si>
  <si>
    <t>D6: team budget</t>
  </si>
  <si>
    <t>SaaS Stack M1-6</t>
  </si>
  <si>
    <t>D9: Google, Figma, Notion, Crisp</t>
  </si>
  <si>
    <t>SaaS Stack M7-12</t>
  </si>
  <si>
    <t>D9: + tools</t>
  </si>
  <si>
    <t>SaaS Stack M13+</t>
  </si>
  <si>
    <t>D9: full stack</t>
  </si>
  <si>
    <t>Rent M1-3 (co-working)</t>
  </si>
  <si>
    <t>Before space opens</t>
  </si>
  <si>
    <t>Rent M4+ (all-in, incl. Nebenkosten)</t>
  </si>
  <si>
    <t>EX-07: EUR 1,500/mo all-in (50sqm B-location)</t>
  </si>
  <si>
    <t>Nebenkosten M4+ (bundled in rent)</t>
  </si>
  <si>
    <t>EX-07: EUR 0 — included in EUR 1,500 all-in rent</t>
  </si>
  <si>
    <t>Steuerberater</t>
  </si>
  <si>
    <t>Tax advisor monthly</t>
  </si>
  <si>
    <t>General liability insurance</t>
  </si>
  <si>
    <t>Betriebshaftpflicht</t>
  </si>
  <si>
    <t>D&amp;O insurance</t>
  </si>
  <si>
    <t>P6: mandatory with investors</t>
  </si>
  <si>
    <t>Cyber insurance</t>
  </si>
  <si>
    <t>P6: health data — Art. 9 GDPR</t>
  </si>
  <si>
    <t>Product liability insurance</t>
  </si>
  <si>
    <t>P6: supplements</t>
  </si>
  <si>
    <t>Product recall insurance M4+</t>
  </si>
  <si>
    <t>P4: for NEM retail</t>
  </si>
  <si>
    <t>Utilities M4+ (Strom/Gas/Wasser)</t>
  </si>
  <si>
    <t>P3: was EUR 400</t>
  </si>
  <si>
    <t>Cleaning/maintenance M4+</t>
  </si>
  <si>
    <t>P3: daily cleaning</t>
  </si>
  <si>
    <t>Maintenance reserve M4+</t>
  </si>
  <si>
    <t>P3: equipment repairs</t>
  </si>
  <si>
    <t>Waste disposal M4+</t>
  </si>
  <si>
    <t>P3: BSR commercial</t>
  </si>
  <si>
    <t>WiFi / internet M4+</t>
  </si>
  <si>
    <t>P3: business fiber</t>
  </si>
  <si>
    <t>POS SaaS M4+ (SumUp Essentials)</t>
  </si>
  <si>
    <t>EX-11: SumUp Essentials actual price (was EUR 50)</t>
  </si>
  <si>
    <t>DSB (ext. DPO) monthly</t>
  </si>
  <si>
    <t>P6: MANDATORY Art. 37 GDPR</t>
  </si>
  <si>
    <t>CMP tool (cookie consent)</t>
  </si>
  <si>
    <t>P6: TDDDG required</t>
  </si>
  <si>
    <t>Food safety compliance M4+</t>
  </si>
  <si>
    <t>P4: HACCP + monitoring</t>
  </si>
  <si>
    <t>IHK Berlin (annual ÷ 12)</t>
  </si>
  <si>
    <t>P2: EUR 120/yr (was EUR 25)</t>
  </si>
  <si>
    <t>GEMA M4+ (Tarif M-U + Soundtrack)</t>
  </si>
  <si>
    <t>EX-13: EUR 9.75/mo GEMA + EUR 25 Soundtrack Your Brand (was EUR 31)</t>
  </si>
  <si>
    <t>Rundfunkbeitrag</t>
  </si>
  <si>
    <t>P2: EUR 6.12/mo for 0-8 employees</t>
  </si>
  <si>
    <t>Verpackungsgesetz (annual ÷ 12)</t>
  </si>
  <si>
    <t>P2: LUCID + dual system</t>
  </si>
  <si>
    <t>SALES &amp; MARKETING</t>
  </si>
  <si>
    <t>Content creation tools</t>
  </si>
  <si>
    <t>Canva, stock, etc.</t>
  </si>
  <si>
    <t>Influencer seeding M7+</t>
  </si>
  <si>
    <t>Product seeding</t>
  </si>
  <si>
    <t>Investor travel</t>
  </si>
  <si>
    <t>Monthly</t>
  </si>
  <si>
    <t>Conferences M7+</t>
  </si>
  <si>
    <t>Industry events</t>
  </si>
  <si>
    <t>Local transport</t>
  </si>
  <si>
    <t>BVG</t>
  </si>
  <si>
    <t>BUFFERS</t>
  </si>
  <si>
    <t>Contingency buffer rate</t>
  </si>
  <si>
    <t>10% of OpEx (pre-contingency)</t>
  </si>
  <si>
    <t>Bank fees</t>
  </si>
  <si>
    <t>P5: Geschaeftskonto monthly</t>
  </si>
  <si>
    <t>TAX (P2: Berlin GmbH)</t>
  </si>
  <si>
    <t>Gewerbesteuer rate (Berlin)</t>
  </si>
  <si>
    <t>P2: 3.5% × 410% Hebesatz</t>
  </si>
  <si>
    <t>KSt + Soli rate</t>
  </si>
  <si>
    <t>P2: 15% + 5.5% Soli</t>
  </si>
  <si>
    <t>Combined tax rate (simplified)</t>
  </si>
  <si>
    <t>P2: ~30.18% rounded down</t>
  </si>
  <si>
    <t>CAPITAL EXPENDITURES</t>
  </si>
  <si>
    <t>GmbH Formation (M1)</t>
  </si>
  <si>
    <t>Notary + registration</t>
  </si>
  <si>
    <t>Legal Opinion HWG (M1)</t>
  </si>
  <si>
    <t>D3/R3</t>
  </si>
  <si>
    <t>R&amp;D Stability Testing (M1)</t>
  </si>
  <si>
    <t>Supplement formulation</t>
  </si>
  <si>
    <t>DPIA (M1)</t>
  </si>
  <si>
    <t>P6: MANDATORY Art. 35 GDPR</t>
  </si>
  <si>
    <t>MDR Classification Opinion (M1)</t>
  </si>
  <si>
    <t>P6: MANDATORY pre-launch</t>
  </si>
  <si>
    <t>Privacy Policy + ToS (M1)</t>
  </si>
  <si>
    <t>P6: Art. 13/14 GDPR</t>
  </si>
  <si>
    <t>App Design &amp; Development (M1)</t>
  </si>
  <si>
    <t>CapEx: UX/UI capitalized</t>
  </si>
  <si>
    <t>Space Buildout (M3)</t>
  </si>
  <si>
    <t>P3: was EUR 15K</t>
  </si>
  <si>
    <t>Kitchen Equipment (M3)</t>
  </si>
  <si>
    <t>Smoothie bar</t>
  </si>
  <si>
    <t>LED Therapy Devices (M3)</t>
  </si>
  <si>
    <t>MITO LIGHT panels</t>
  </si>
  <si>
    <t>Fire Safety Equipment (M3)</t>
  </si>
  <si>
    <t>P3: extinguishers + signage</t>
  </si>
  <si>
    <t>Signage &amp; Branding (M3)</t>
  </si>
  <si>
    <t>P3: window + exterior</t>
  </si>
  <si>
    <t>HACCP Plan Setup (M3)</t>
  </si>
  <si>
    <t>P4: consultant</t>
  </si>
  <si>
    <t>Hygiene Training (M3)</t>
  </si>
  <si>
    <t>P4: IfSG §43 × 4 persons</t>
  </si>
  <si>
    <t>Food Safety Equipment (M3)</t>
  </si>
  <si>
    <t>P4: thermometers + sensors</t>
  </si>
  <si>
    <t>Ablöse — Key Money (M3)</t>
  </si>
  <si>
    <t>Hava parası — commercial lease takeover</t>
  </si>
  <si>
    <t>Kaution — Security Deposit (M3)</t>
  </si>
  <si>
    <t>3 months Kaltmiete (refundable, NOT P&amp;L)</t>
  </si>
  <si>
    <t>Depreciation period (months)</t>
  </si>
  <si>
    <t>Linear 3-year</t>
  </si>
  <si>
    <t>SCENARIO MULTIPLIERS</t>
  </si>
  <si>
    <t>Bull — revenue multiplier</t>
  </si>
  <si>
    <t>Optimistic growth</t>
  </si>
  <si>
    <t>Bull — churn multiplier</t>
  </si>
  <si>
    <t>Lower churn</t>
  </si>
  <si>
    <t>Bear — revenue multiplier</t>
  </si>
  <si>
    <t>Slower growth</t>
  </si>
  <si>
    <t>Bear — churn multiplier</t>
  </si>
  <si>
    <t>Higher churn</t>
  </si>
  <si>
    <t>Bear — CAC multiplier</t>
  </si>
  <si>
    <t>Higher acquisition cost</t>
  </si>
  <si>
    <t>v4 CHANGES — NEW ASSUMPTIONS (Feb 2026)</t>
  </si>
  <si>
    <t>Annual Essential price (EUR/yr)</t>
  </si>
  <si>
    <t>EX-01: 10 months — 2 months free</t>
  </si>
  <si>
    <t>Annual Protocol price (EUR/yr)</t>
  </si>
  <si>
    <t>Annual Concierge price (EUR/yr)</t>
  </si>
  <si>
    <t>Annual mix M1-6</t>
  </si>
  <si>
    <t>EX-01: 20% of new subs choose annual in M1-6</t>
  </si>
  <si>
    <t>Annual mix M12+</t>
  </si>
  <si>
    <t>EX-01: 30% on annual by M12; M7-11 = 25%</t>
  </si>
  <si>
    <t>B2B PEPM rate (EUR/employee/mo)</t>
  </si>
  <si>
    <t>EX-02: EUR 39/PEPM — just under EUR 600 BGM limit</t>
  </si>
  <si>
    <t>B2B employees per client</t>
  </si>
  <si>
    <t>EX-02: conservative 15 employees/client</t>
  </si>
  <si>
    <t>Gift card net revenue/mo M4+ (EUR)</t>
  </si>
  <si>
    <t>EX-03: 10 cards x EUR 49 x 90% = EUR 441 recognized</t>
  </si>
  <si>
    <t>App contractor monthly M5+ (EUR)</t>
  </si>
  <si>
    <t>EX-06: Senior Flutter contractor via Arc.dev</t>
  </si>
  <si>
    <t>App MVP build CapEx M1 (EUR)</t>
  </si>
  <si>
    <t>EX-06: FlutterFlow MVP via agency (one-time M1)</t>
  </si>
  <si>
    <t>POS hardware + TSE CapEx M3 (EUR)</t>
  </si>
  <si>
    <t>EX-11: SumUp POS Kit + hardware TSE module</t>
  </si>
  <si>
    <t>CTO recruitment contingency M14 (EUR)</t>
  </si>
  <si>
    <t>EX-10: Agency fee if network search fails; NOT base case burn</t>
  </si>
  <si>
    <t>Space security deposit M3 (EUR)</t>
  </si>
  <si>
    <t>EX-07: 3 months deposit for physical space (balance sheet, not P&amp;L)</t>
  </si>
  <si>
    <t>alche — Monthly Growth Curves (Input Data)</t>
  </si>
  <si>
    <t>Edit numbers to change unit forecasts. P&amp;L formulas reference these cells.</t>
  </si>
  <si>
    <t>Metric</t>
  </si>
  <si>
    <t>Retail Units</t>
  </si>
  <si>
    <t>LED Sessions</t>
  </si>
  <si>
    <t>Smoothie Units</t>
  </si>
  <si>
    <t>Event Count</t>
  </si>
  <si>
    <t>Event Avg Attendees</t>
  </si>
  <si>
    <t>Doctor Clinics</t>
  </si>
  <si>
    <t>Marketing Spend (EUR)</t>
  </si>
  <si>
    <t>KSK-Eligible Freelancer Spend</t>
  </si>
  <si>
    <t>New Doctors (delta)</t>
  </si>
  <si>
    <t>SUBSCRIBER MODEL</t>
  </si>
  <si>
    <t>New Subs Rate</t>
  </si>
  <si>
    <t>Churned Subs</t>
  </si>
  <si>
    <t>Total Subscribers</t>
  </si>
  <si>
    <t xml:space="preserve">  Core Subs (52%)</t>
  </si>
  <si>
    <t xml:space="preserve">  Pro Subs (38%)</t>
  </si>
  <si>
    <t xml:space="preserve">  Premium Subs (10%)</t>
  </si>
  <si>
    <t>alche — Cash Flow Statement v3</t>
  </si>
  <si>
    <t>P5: EUR ~218K gap between P&amp;L profit and actual cash. This sheet closes that gap.</t>
  </si>
  <si>
    <t>Cash Flow (EUR)</t>
  </si>
  <si>
    <t>OPERATING ACTIVITIES</t>
  </si>
  <si>
    <t xml:space="preserve">  EBITDA</t>
  </si>
  <si>
    <t xml:space="preserve">  - Tax Provision</t>
  </si>
  <si>
    <t xml:space="preserve">  - Working Capital Build (inventory)</t>
  </si>
  <si>
    <t xml:space="preserve">  Operating Cash Flow</t>
  </si>
  <si>
    <t>INVESTING ACTIVITIES</t>
  </si>
  <si>
    <t xml:space="preserve">  CapEx</t>
  </si>
  <si>
    <t xml:space="preserve">  Kaution — Security Deposit (M3)</t>
  </si>
  <si>
    <t xml:space="preserve">  Space Security Deposit M3 (EX-07: balance sheet, refundable)</t>
  </si>
  <si>
    <t xml:space="preserve">  Investing Cash Flow</t>
  </si>
  <si>
    <t>FINANCING ACTIVITIES</t>
  </si>
  <si>
    <t xml:space="preserve">  Pre-Seed Funding (M1)</t>
  </si>
  <si>
    <t xml:space="preserve">  Financing Cash Flow</t>
  </si>
  <si>
    <t>NET CASH FLOW</t>
  </si>
  <si>
    <t>CUMULATIVE CASH BALANCE</t>
  </si>
  <si>
    <t>P&amp;L vs CASH GAP ANALYSIS</t>
  </si>
  <si>
    <t xml:space="preserve">  P&amp;L Cumulative Cash</t>
  </si>
  <si>
    <t xml:space="preserve">  Actual Cash (this sheet)</t>
  </si>
  <si>
    <t xml:space="preserve">  GAP (Working Capital Drag)</t>
  </si>
  <si>
    <t>alche — Unit Economics Dashboard</t>
  </si>
  <si>
    <t>P1/P5: LTV:CAC, payback period, contribution margin per stream</t>
  </si>
  <si>
    <t>SUBSCRIPTION METRICS</t>
  </si>
  <si>
    <t xml:space="preserve">  Subscription ARPU (EUR/sub/mo)</t>
  </si>
  <si>
    <t xml:space="preserve">  Subscription LTV (ARPU / churn)</t>
  </si>
  <si>
    <t xml:space="preserve">  CAC (paid ads / new subs)</t>
  </si>
  <si>
    <t xml:space="preserve">  LTV:CAC Ratio</t>
  </si>
  <si>
    <t xml:space="preserve">  CAC Payback (months)</t>
  </si>
  <si>
    <t>CONTRIBUTION MARGIN BY STREAM</t>
  </si>
  <si>
    <t xml:space="preserve">  Retail Contribution Margin %</t>
  </si>
  <si>
    <t xml:space="preserve">  LED Therapy Contribution Margin %</t>
  </si>
  <si>
    <t xml:space="preserve">  Smoothie Bar Contribution Margin %</t>
  </si>
  <si>
    <t xml:space="preserve">  Subscription Contribution Margin %</t>
  </si>
  <si>
    <t>REVENUE MIX (P5: only 4.7% subs at M24)</t>
  </si>
  <si>
    <t xml:space="preserve">  Retail %</t>
  </si>
  <si>
    <t xml:space="preserve">  LED %</t>
  </si>
  <si>
    <t xml:space="preserve">  Smoothie %</t>
  </si>
  <si>
    <t xml:space="preserve">  Events %</t>
  </si>
  <si>
    <t xml:space="preserve">  Doctor SaaS %</t>
  </si>
  <si>
    <t xml:space="preserve">  Subscriptions %</t>
  </si>
  <si>
    <t>alche — Scenario Summary</t>
  </si>
  <si>
    <t>Base = current model. Bull/Bear use multipliers from Assumptions sheet.</t>
  </si>
  <si>
    <t>BASE</t>
  </si>
  <si>
    <t>BULL (1.3x rev)</t>
  </si>
  <si>
    <t>BEAR (0.6x rev)</t>
  </si>
  <si>
    <t>Total Revenue (24-mo)</t>
  </si>
  <si>
    <t>Total COGS (24-mo)</t>
  </si>
  <si>
    <t>Gross Profit (24-mo)</t>
  </si>
  <si>
    <t>Total OpEx (24-mo)</t>
  </si>
  <si>
    <t>Total CapEx (24-mo)</t>
  </si>
  <si>
    <t>EBITDA (24-mo)</t>
  </si>
  <si>
    <t>Net P&amp;L (24-mo, pre-tax)</t>
  </si>
  <si>
    <t>Estimated Cash at M24</t>
  </si>
  <si>
    <t>INTERPRETATION</t>
  </si>
  <si>
    <t>Bear case: shows if EUR 500K is sufficient</t>
  </si>
  <si>
    <t>If Bear cash &lt; 0 → raise needs to increase or scope must be reduced</t>
  </si>
  <si>
    <t>Bull case: shows working capital stress at higher volume (P5)</t>
  </si>
  <si>
    <t>alche — Decision Log (D1-D11) + Persona Audit</t>
  </si>
  <si>
    <t>All decisions from P&amp;L sessions, 2026-02-22/23. 7 persona audits completed.</t>
  </si>
  <si>
    <t>#</t>
  </si>
  <si>
    <t>Decision</t>
  </si>
  <si>
    <t>Choice Made</t>
  </si>
  <si>
    <t>Old Value</t>
  </si>
  <si>
    <t>P&amp;L Impact</t>
  </si>
  <si>
    <t>D1</t>
  </si>
  <si>
    <t>Doctor Revenue</t>
  </si>
  <si>
    <t>C. SaaS EUR 99/mo × 20 clinics</t>
  </si>
  <si>
    <t>EUR 150/mo × 865</t>
  </si>
  <si>
    <t>Revenue -75%; legally safe (StGB §299a)</t>
  </si>
  <si>
    <t>D2</t>
  </si>
  <si>
    <t>Restaurant Revenue</t>
  </si>
  <si>
    <t>B. Phase 2 (500+ users)</t>
  </si>
  <si>
    <t>EUR 1.50/cover M6+</t>
  </si>
  <si>
    <t>EUR 0 all 24 months</t>
  </si>
  <si>
    <t>D3</t>
  </si>
  <si>
    <t>CGM Hardware</t>
  </si>
  <si>
    <t>Commission — Premium 3-mo gate or add-on</t>
  </si>
  <si>
    <t>EUR 130 × units (old)</t>
  </si>
  <si>
    <t>EUR 15/user/mo referral commission; starts M7; Premium gate 3-mo; COGS = 0</t>
  </si>
  <si>
    <t>D4</t>
  </si>
  <si>
    <t>Physical Space</t>
  </si>
  <si>
    <t>A. Smoothie bar + space</t>
  </si>
  <si>
    <t>EUR 0</t>
  </si>
  <si>
    <t>New rev + EUR 2,825/mo (rent+Nebenkosten) + CapEx</t>
  </si>
  <si>
    <t>D5</t>
  </si>
  <si>
    <t>CapEx Section</t>
  </si>
  <si>
    <t>Yes, include</t>
  </si>
  <si>
    <t>All OpEx</t>
  </si>
  <si>
    <t>EUR ~148K total (v3.3: +EUR 50K Ablöse)</t>
  </si>
  <si>
    <t>D6</t>
  </si>
  <si>
    <t>AI Cost Model</t>
  </si>
  <si>
    <t>Both internal + user-facing</t>
  </si>
  <si>
    <t>EUR 210 + EUR 499 Terra</t>
  </si>
  <si>
    <t>EUR 210 + EUR 0.35/sub (R9)</t>
  </si>
  <si>
    <t>D7</t>
  </si>
  <si>
    <t>Product Waste</t>
  </si>
  <si>
    <t>Category-weighted</t>
  </si>
  <si>
    <t>Flat 5%</t>
  </si>
  <si>
    <t>5.5% blended</t>
  </si>
  <si>
    <t>D8</t>
  </si>
  <si>
    <t>Terra CGM API</t>
  </si>
  <si>
    <t>Defer — free HealthKit</t>
  </si>
  <si>
    <t>EUR 499/mo M6+</t>
  </si>
  <si>
    <t>Saves EUR 9,481</t>
  </si>
  <si>
    <t>D9</t>
  </si>
  <si>
    <t>SaaS Stack</t>
  </si>
  <si>
    <t>Itemized (R8)</t>
  </si>
  <si>
    <t>EUR 350→1800</t>
  </si>
  <si>
    <t>EUR 338→500→750</t>
  </si>
  <si>
    <t>D10</t>
  </si>
  <si>
    <t>Menu Analysis</t>
  </si>
  <si>
    <t>EUR 0 — founders do it</t>
  </si>
  <si>
    <t>EUR 500/mo</t>
  </si>
  <si>
    <t>Saves EUR 12,000</t>
  </si>
  <si>
    <t>D11</t>
  </si>
  <si>
    <t>Retail Products</t>
  </si>
  <si>
    <t>EUR 49 validated; COGS EUR 23.50</t>
  </si>
  <si>
    <t>EUR 11.50 COGS</t>
  </si>
  <si>
    <t>Margin 76% → 52% (R10)</t>
  </si>
  <si>
    <t>MODEL CORRECTIONS (v3.1 / v3.2)</t>
  </si>
  <si>
    <t>Correction</t>
  </si>
  <si>
    <t>Change Made</t>
  </si>
  <si>
    <t>Previous</t>
  </si>
  <si>
    <t>Impact</t>
  </si>
  <si>
    <t>v3.1</t>
  </si>
  <si>
    <t>Growth Marketer removed</t>
  </si>
  <si>
    <t>Timu IS the growth marketer</t>
  </si>
  <si>
    <t>EUR 4,500/mo from M12</t>
  </si>
  <si>
    <t>Saves EUR 73K (M12-M24)</t>
  </si>
  <si>
    <t>Subscribers gated to M4+</t>
  </si>
  <si>
    <t>App launches with space</t>
  </si>
  <si>
    <t>3 new subs/mo from M1</t>
  </si>
  <si>
    <t>M1-M3: zero subs, zero sub revenue</t>
  </si>
  <si>
    <t>UX/UI → CapEx</t>
  </si>
  <si>
    <t>EUR 15K one-off App Design (M1)</t>
  </si>
  <si>
    <t>EUR 800/mo OpEx</t>
  </si>
  <si>
    <t>Saves EUR 19.2K OpEx, adds EUR 15K CapEx</t>
  </si>
  <si>
    <t>B19 note update</t>
  </si>
  <si>
    <t>'Scaling phase'</t>
  </si>
  <si>
    <t>'Growth marketer effect'</t>
  </si>
  <si>
    <t>Label only — no financial impact</t>
  </si>
  <si>
    <t>v3.2</t>
  </si>
  <si>
    <t>LED therapy → free</t>
  </si>
  <si>
    <t>EUR 0 price, self-service</t>
  </si>
  <si>
    <t>EUR 45/session, EUR 25 practitioner</t>
  </si>
  <si>
    <t>Forgoes ~EUR 151K rev, saves ~EUR 84K COGS</t>
  </si>
  <si>
    <t>v3.3</t>
  </si>
  <si>
    <t>Ablöse (key money) added</t>
  </si>
  <si>
    <t>EUR 50K M3 CapEx, amortized 36mo</t>
  </si>
  <si>
    <t>Not modeled</t>
  </si>
  <si>
    <t>CapEx EUR 98K → EUR 148K; tighter runway</t>
  </si>
  <si>
    <t>Kaution (security deposit)</t>
  </si>
  <si>
    <t>EUR 7.5K M3 cash outflow</t>
  </si>
  <si>
    <t>Cash Flow only — refundable, not P&amp;L</t>
  </si>
  <si>
    <t>7-PERSONA AUDIT RESULTS</t>
  </si>
  <si>
    <t>Persona</t>
  </si>
  <si>
    <t>Key Finding</t>
  </si>
  <si>
    <t>EUR Impact</t>
  </si>
  <si>
    <t>Status in v3</t>
  </si>
  <si>
    <t>P1</t>
  </si>
  <si>
    <t>Angel Investor</t>
  </si>
  <si>
    <t>EUR 113-236K missing costs; CAC EUR 40 too low</t>
  </si>
  <si>
    <t>EUR 175K midpoint gap</t>
  </si>
  <si>
    <t>All items added</t>
  </si>
  <si>
    <t>P2</t>
  </si>
  <si>
    <t>GewSt 14.35% + KSt 15.825% = ~30% tax; IHK EUR 120/yr</t>
  </si>
  <si>
    <t>~EUR 3K/mo when profitable</t>
  </si>
  <si>
    <t>Tax provision added</t>
  </si>
  <si>
    <t>P3</t>
  </si>
  <si>
    <t>Operations Manager</t>
  </si>
  <si>
    <t>Rent is Kaltmiete; buildout EUR 25K+; utilities EUR 500</t>
  </si>
  <si>
    <t>+EUR 665-1,600/mo</t>
  </si>
  <si>
    <t>Nebenkosten, buildout, utilities updated</t>
  </si>
  <si>
    <t>P4</t>
  </si>
  <si>
    <t>Food Safety Inspector</t>
  </si>
  <si>
    <t>No Gaststättenerlaubnis needed; NMN NOT EU approved</t>
  </si>
  <si>
    <t>+EUR 2.6-5.8K one-off</t>
  </si>
  <si>
    <t>HACCP, hygiene, food safety added</t>
  </si>
  <si>
    <t>P5</t>
  </si>
  <si>
    <t>Growth CFO</t>
  </si>
  <si>
    <t>EUR 218K P&amp;L vs cash gap; ARPU EUR 38.44 not EUR 49</t>
  </si>
  <si>
    <t>Working capital critical</t>
  </si>
  <si>
    <t>Cash flow sheet added</t>
  </si>
  <si>
    <t>P6</t>
  </si>
  <si>
    <t>Compliance Legal</t>
  </si>
  <si>
    <t>DSB mandatory; DPIA mandatory; insurance EUR 650/mo</t>
  </si>
  <si>
    <t>+EUR 29.5-53K one-off</t>
  </si>
  <si>
    <t>DSB, DPIA, MDR, insurance split added</t>
  </si>
  <si>
    <t>P7</t>
  </si>
  <si>
    <t>HR Manager</t>
  </si>
  <si>
    <t>CTO recruitment EUR 18K; employer multiplier 1.25x</t>
  </si>
  <si>
    <t>+EUR 16-27K one-off</t>
  </si>
  <si>
    <t>Recruitment, multiplier, onboarding added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</si>
</sst>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#,##0.0"/>
    <numFmt numFmtId="166" formatCode="0.000%"/>
    <numFmt numFmtId="167" formatCode="€#,##0"/>
  </numFmts>
  <fonts count="15">
    <font>
      <sz val="11.0"/>
      <color theme="1"/>
      <name val="Calibri"/>
      <scheme val="minor"/>
    </font>
    <font>
      <b/>
      <sz val="16.0"/>
      <color rgb="FF2C2418"/>
      <name val="Calibri"/>
    </font>
    <font>
      <i/>
      <sz val="9.0"/>
      <color rgb="FF9E948A"/>
      <name val="Calibri"/>
    </font>
    <font>
      <b/>
      <sz val="10.0"/>
      <color rgb="FFFFFFFF"/>
      <name val="Calibri"/>
    </font>
    <font>
      <sz val="10.0"/>
      <color rgb="FF8A7F73"/>
      <name val="Calibri"/>
    </font>
    <font>
      <b/>
      <sz val="10.0"/>
      <color rgb="FF2C2418"/>
      <name val="Calibri"/>
    </font>
    <font>
      <color theme="1"/>
      <name val="Calibri"/>
      <scheme val="minor"/>
    </font>
    <font>
      <sz val="9.0"/>
      <color rgb="FF8A7F73"/>
      <name val="Calibri"/>
    </font>
    <font>
      <sz val="10.0"/>
      <color rgb="FF2C2418"/>
      <name val="Calibri"/>
    </font>
    <font>
      <b/>
      <sz val="11.0"/>
      <color rgb="FF2C2418"/>
      <name val="Calibri"/>
    </font>
    <font>
      <sz val="11.0"/>
      <color theme="1"/>
      <name val="Calibri"/>
    </font>
    <font>
      <sz val="10.0"/>
      <color rgb="FF5C5244"/>
      <name val="Calibri"/>
    </font>
    <font>
      <b/>
      <sz val="10.0"/>
      <color rgb="FFB86B4A"/>
      <name val="Calibri"/>
    </font>
    <font>
      <b/>
      <sz val="10.0"/>
      <color rgb="FFC4956A"/>
      <name val="Calibri"/>
    </font>
    <font>
      <b/>
      <sz val="10.0"/>
      <color rgb="FF8B9E7C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3D3225"/>
        <bgColor rgb="FF3D3225"/>
      </patternFill>
    </fill>
    <fill>
      <patternFill patternType="solid">
        <fgColor rgb="FFE5DDD3"/>
        <bgColor rgb="FFE5DDD3"/>
      </patternFill>
    </fill>
    <fill>
      <patternFill patternType="solid">
        <fgColor rgb="FFEDE7DC"/>
        <bgColor rgb="FFEDE7DC"/>
      </patternFill>
    </fill>
    <fill>
      <patternFill patternType="solid">
        <fgColor rgb="FFD8CFC3"/>
        <bgColor rgb="FFD8CFC3"/>
      </patternFill>
    </fill>
  </fills>
  <borders count="5">
    <border/>
    <border>
      <left/>
      <right/>
      <top/>
      <bottom/>
    </border>
    <border>
      <bottom style="thin">
        <color rgb="FFD8CFC3"/>
      </bottom>
    </border>
    <border>
      <bottom style="thick">
        <color rgb="FFC4956A"/>
      </bottom>
    </border>
    <border>
      <top style="medium">
        <color rgb="FF2C2418"/>
      </top>
      <bottom style="medium">
        <color rgb="FF2C2418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shrinkToFit="0" wrapText="1"/>
    </xf>
    <xf borderId="1" fillId="2" fontId="3" numFmtId="0" xfId="0" applyBorder="1" applyFont="1"/>
    <xf borderId="0" fillId="0" fontId="4" numFmtId="0" xfId="0" applyAlignment="1" applyFont="1">
      <alignment shrinkToFit="0" wrapText="1"/>
    </xf>
    <xf borderId="0" fillId="0" fontId="4" numFmtId="3" xfId="0" applyAlignment="1" applyFont="1" applyNumberFormat="1">
      <alignment horizontal="right" vertical="center"/>
    </xf>
    <xf borderId="2" fillId="3" fontId="5" numFmtId="0" xfId="0" applyAlignment="1" applyBorder="1" applyFill="1" applyFont="1">
      <alignment shrinkToFit="0" wrapText="1"/>
    </xf>
    <xf borderId="2" fillId="3" fontId="5" numFmtId="3" xfId="0" applyAlignment="1" applyBorder="1" applyFont="1" applyNumberFormat="1">
      <alignment horizontal="right" vertical="center"/>
    </xf>
    <xf borderId="0" fillId="0" fontId="6" numFmtId="0" xfId="0" applyAlignment="1" applyFont="1">
      <alignment shrinkToFit="0" wrapText="1"/>
    </xf>
    <xf borderId="1" fillId="4" fontId="5" numFmtId="0" xfId="0" applyAlignment="1" applyBorder="1" applyFill="1" applyFont="1">
      <alignment shrinkToFit="0" wrapText="1"/>
    </xf>
    <xf borderId="1" fillId="4" fontId="5" numFmtId="0" xfId="0" applyBorder="1" applyFont="1"/>
    <xf borderId="0" fillId="0" fontId="7" numFmtId="0" xfId="0" applyAlignment="1" applyFont="1">
      <alignment shrinkToFit="0" wrapText="1"/>
    </xf>
    <xf borderId="0" fillId="0" fontId="7" numFmtId="3" xfId="0" applyAlignment="1" applyFont="1" applyNumberFormat="1">
      <alignment horizontal="right" vertical="center"/>
    </xf>
    <xf borderId="0" fillId="0" fontId="7" numFmtId="4" xfId="0" applyAlignment="1" applyFont="1" applyNumberFormat="1">
      <alignment horizontal="right" vertical="center"/>
    </xf>
    <xf borderId="3" fillId="0" fontId="8" numFmtId="0" xfId="0" applyAlignment="1" applyBorder="1" applyFont="1">
      <alignment shrinkToFit="0" wrapText="1"/>
    </xf>
    <xf borderId="3" fillId="0" fontId="8" numFmtId="3" xfId="0" applyAlignment="1" applyBorder="1" applyFont="1" applyNumberFormat="1">
      <alignment horizontal="right" vertical="center"/>
    </xf>
    <xf borderId="3" fillId="0" fontId="4" numFmtId="0" xfId="0" applyAlignment="1" applyBorder="1" applyFont="1">
      <alignment shrinkToFit="0" wrapText="1"/>
    </xf>
    <xf borderId="3" fillId="0" fontId="4" numFmtId="3" xfId="0" applyAlignment="1" applyBorder="1" applyFont="1" applyNumberFormat="1">
      <alignment horizontal="right" vertical="center"/>
    </xf>
    <xf borderId="0" fillId="0" fontId="8" numFmtId="0" xfId="0" applyAlignment="1" applyFont="1">
      <alignment shrinkToFit="0" wrapText="1"/>
    </xf>
    <xf borderId="0" fillId="0" fontId="8" numFmtId="3" xfId="0" applyAlignment="1" applyFont="1" applyNumberFormat="1">
      <alignment horizontal="right" vertical="center"/>
    </xf>
    <xf borderId="4" fillId="5" fontId="9" numFmtId="0" xfId="0" applyAlignment="1" applyBorder="1" applyFill="1" applyFont="1">
      <alignment shrinkToFit="0" wrapText="1"/>
    </xf>
    <xf borderId="4" fillId="5" fontId="9" numFmtId="3" xfId="0" applyAlignment="1" applyBorder="1" applyFont="1" applyNumberFormat="1">
      <alignment horizontal="right" vertical="center"/>
    </xf>
    <xf borderId="0" fillId="0" fontId="4" numFmtId="164" xfId="0" applyAlignment="1" applyFont="1" applyNumberFormat="1">
      <alignment horizontal="right" vertical="center"/>
    </xf>
    <xf borderId="0" fillId="0" fontId="8" numFmtId="0" xfId="0" applyAlignment="1" applyFont="1">
      <alignment readingOrder="0" shrinkToFit="0" wrapText="1"/>
    </xf>
    <xf borderId="3" fillId="3" fontId="5" numFmtId="0" xfId="0" applyAlignment="1" applyBorder="1" applyFont="1">
      <alignment shrinkToFit="0" wrapText="1"/>
    </xf>
    <xf borderId="3" fillId="3" fontId="5" numFmtId="3" xfId="0" applyAlignment="1" applyBorder="1" applyFont="1" applyNumberFormat="1">
      <alignment horizontal="right" vertical="center"/>
    </xf>
    <xf borderId="0" fillId="0" fontId="8" numFmtId="3" xfId="0" applyAlignment="1" applyFont="1" applyNumberFormat="1">
      <alignment horizontal="right" readingOrder="0" vertical="center"/>
    </xf>
    <xf borderId="0" fillId="0" fontId="4" numFmtId="3" xfId="0" applyFont="1" applyNumberFormat="1"/>
    <xf borderId="2" fillId="3" fontId="5" numFmtId="3" xfId="0" applyBorder="1" applyFont="1" applyNumberFormat="1"/>
    <xf borderId="0" fillId="0" fontId="4" numFmtId="4" xfId="0" applyAlignment="1" applyFont="1" applyNumberFormat="1">
      <alignment horizontal="right" vertical="center"/>
    </xf>
    <xf borderId="0" fillId="0" fontId="4" numFmtId="165" xfId="0" applyAlignment="1" applyFont="1" applyNumberFormat="1">
      <alignment horizontal="right" vertical="center"/>
    </xf>
    <xf borderId="2" fillId="3" fontId="5" numFmtId="0" xfId="0" applyAlignment="1" applyBorder="1" applyFont="1">
      <alignment horizontal="right" vertical="center"/>
    </xf>
    <xf borderId="2" fillId="3" fontId="5" numFmtId="0" xfId="0" applyBorder="1" applyFont="1"/>
    <xf borderId="0" fillId="0" fontId="1" numFmtId="0" xfId="0" applyFont="1"/>
    <xf borderId="0" fillId="0" fontId="2" numFmtId="0" xfId="0" applyFont="1"/>
    <xf borderId="1" fillId="4" fontId="10" numFmtId="0" xfId="0" applyBorder="1" applyFont="1"/>
    <xf borderId="0" fillId="0" fontId="11" numFmtId="0" xfId="0" applyFont="1"/>
    <xf borderId="0" fillId="0" fontId="5" numFmtId="0" xfId="0" applyAlignment="1" applyFont="1">
      <alignment horizontal="right" vertical="center"/>
    </xf>
    <xf borderId="0" fillId="0" fontId="5" numFmtId="9" xfId="0" applyAlignment="1" applyFont="1" applyNumberFormat="1">
      <alignment horizontal="right" vertical="center"/>
    </xf>
    <xf borderId="0" fillId="0" fontId="5" numFmtId="164" xfId="0" applyAlignment="1" applyFont="1" applyNumberFormat="1">
      <alignment horizontal="right" vertical="center"/>
    </xf>
    <xf borderId="0" fillId="0" fontId="5" numFmtId="10" xfId="0" applyAlignment="1" applyFont="1" applyNumberFormat="1">
      <alignment horizontal="right" vertical="center"/>
    </xf>
    <xf borderId="0" fillId="0" fontId="5" numFmtId="166" xfId="0" applyAlignment="1" applyFont="1" applyNumberFormat="1">
      <alignment horizontal="right" vertical="center"/>
    </xf>
    <xf borderId="0" fillId="0" fontId="5" numFmtId="167" xfId="0" applyAlignment="1" applyFont="1" applyNumberFormat="1">
      <alignment horizontal="right" vertical="center"/>
    </xf>
    <xf borderId="0" fillId="0" fontId="5" numFmtId="0" xfId="0" applyAlignment="1" applyFont="1">
      <alignment horizontal="right" readingOrder="0" vertical="center"/>
    </xf>
    <xf borderId="0" fillId="0" fontId="5" numFmtId="167" xfId="0" applyAlignment="1" applyFont="1" applyNumberFormat="1">
      <alignment horizontal="right" readingOrder="0" vertical="center"/>
    </xf>
    <xf borderId="0" fillId="0" fontId="8" numFmtId="0" xfId="0" applyFont="1"/>
    <xf borderId="0" fillId="0" fontId="4" numFmtId="0" xfId="0" applyFont="1"/>
    <xf borderId="0" fillId="0" fontId="6" numFmtId="0" xfId="0" applyFont="1"/>
    <xf borderId="0" fillId="0" fontId="5" numFmtId="0" xfId="0" applyFont="1"/>
    <xf borderId="0" fillId="0" fontId="5" numFmtId="3" xfId="0" applyFont="1" applyNumberFormat="1"/>
    <xf borderId="1" fillId="3" fontId="5" numFmtId="0" xfId="0" applyBorder="1" applyFont="1"/>
    <xf borderId="1" fillId="3" fontId="5" numFmtId="3" xfId="0" applyAlignment="1" applyBorder="1" applyFont="1" applyNumberFormat="1">
      <alignment horizontal="right" vertical="center"/>
    </xf>
    <xf borderId="1" fillId="3" fontId="5" numFmtId="3" xfId="0" applyBorder="1" applyFont="1" applyNumberFormat="1"/>
    <xf borderId="4" fillId="5" fontId="9" numFmtId="0" xfId="0" applyBorder="1" applyFont="1"/>
    <xf borderId="4" fillId="5" fontId="9" numFmtId="3" xfId="0" applyBorder="1" applyFont="1" applyNumberFormat="1"/>
    <xf borderId="0" fillId="0" fontId="8" numFmtId="4" xfId="0" applyAlignment="1" applyFont="1" applyNumberFormat="1">
      <alignment horizontal="right" vertical="center"/>
    </xf>
    <xf borderId="1" fillId="3" fontId="5" numFmtId="165" xfId="0" applyAlignment="1" applyBorder="1" applyFont="1" applyNumberFormat="1">
      <alignment horizontal="right" vertical="center"/>
    </xf>
    <xf borderId="0" fillId="0" fontId="8" numFmtId="165" xfId="0" applyAlignment="1" applyFont="1" applyNumberFormat="1">
      <alignment horizontal="right" vertical="center"/>
    </xf>
    <xf borderId="0" fillId="0" fontId="8" numFmtId="164" xfId="0" applyAlignment="1" applyFont="1" applyNumberFormat="1">
      <alignment horizontal="right" vertical="center"/>
    </xf>
    <xf borderId="0" fillId="0" fontId="5" numFmtId="3" xfId="0" applyAlignment="1" applyFont="1" applyNumberFormat="1">
      <alignment horizontal="right" vertical="center"/>
    </xf>
    <xf borderId="2" fillId="0" fontId="12" numFmtId="0" xfId="0" applyBorder="1" applyFont="1"/>
    <xf borderId="2" fillId="0" fontId="8" numFmtId="0" xfId="0" applyBorder="1" applyFont="1"/>
    <xf borderId="2" fillId="0" fontId="13" numFmtId="0" xfId="0" applyBorder="1" applyFont="1"/>
    <xf borderId="2" fillId="0" fontId="1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56A"/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6.0"/>
    <col customWidth="1" min="2" max="26" width="11.0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</row>
    <row r="5">
      <c r="A5" s="5" t="s">
        <v>29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30</v>
      </c>
      <c r="B6" s="8">
        <f>'Growth Curves'!B15</f>
        <v>0</v>
      </c>
      <c r="C6" s="8">
        <f>'Growth Curves'!C15</f>
        <v>0</v>
      </c>
      <c r="D6" s="8">
        <f>'Growth Curves'!D15</f>
        <v>0</v>
      </c>
      <c r="E6" s="8">
        <f>'Growth Curves'!E15</f>
        <v>15</v>
      </c>
      <c r="F6" s="8">
        <f>'Growth Curves'!F15</f>
        <v>15</v>
      </c>
      <c r="G6" s="8">
        <f>'Growth Curves'!G15</f>
        <v>15</v>
      </c>
      <c r="H6" s="8">
        <f>'Growth Curves'!H15</f>
        <v>22</v>
      </c>
      <c r="I6" s="8">
        <f>'Growth Curves'!I15</f>
        <v>22</v>
      </c>
      <c r="J6" s="8">
        <f>'Growth Curves'!J15</f>
        <v>22</v>
      </c>
      <c r="K6" s="8">
        <f>'Growth Curves'!K15</f>
        <v>28</v>
      </c>
      <c r="L6" s="8">
        <f>'Growth Curves'!L15</f>
        <v>28</v>
      </c>
      <c r="M6" s="8">
        <f>'Growth Curves'!M15</f>
        <v>28</v>
      </c>
      <c r="N6" s="8">
        <f>'Growth Curves'!N15</f>
        <v>32</v>
      </c>
      <c r="O6" s="8">
        <f>'Growth Curves'!O15</f>
        <v>32</v>
      </c>
      <c r="P6" s="8">
        <f>'Growth Curves'!P15</f>
        <v>32</v>
      </c>
      <c r="Q6" s="8">
        <f>'Growth Curves'!Q15</f>
        <v>32</v>
      </c>
      <c r="R6" s="8">
        <f>'Growth Curves'!R15</f>
        <v>32</v>
      </c>
      <c r="S6" s="8">
        <f>'Growth Curves'!S15</f>
        <v>32</v>
      </c>
      <c r="T6" s="8">
        <f>'Growth Curves'!T15</f>
        <v>38</v>
      </c>
      <c r="U6" s="8">
        <f>'Growth Curves'!U15</f>
        <v>38</v>
      </c>
      <c r="V6" s="8">
        <f>'Growth Curves'!V15</f>
        <v>38</v>
      </c>
      <c r="W6" s="8">
        <f>'Growth Curves'!W15</f>
        <v>38</v>
      </c>
      <c r="X6" s="8">
        <f>'Growth Curves'!X15</f>
        <v>38</v>
      </c>
      <c r="Y6" s="8">
        <f>'Growth Curves'!Y15</f>
        <v>38</v>
      </c>
      <c r="Z6" s="8">
        <f t="shared" ref="Z6:Z11" si="1">SUM(B6:Y6)</f>
        <v>615</v>
      </c>
    </row>
    <row r="7">
      <c r="A7" s="7" t="s">
        <v>31</v>
      </c>
      <c r="B7" s="8">
        <f>'Growth Curves'!B16</f>
        <v>0</v>
      </c>
      <c r="C7" s="8">
        <f>'Growth Curves'!C16</f>
        <v>0</v>
      </c>
      <c r="D7" s="8">
        <f>'Growth Curves'!D16</f>
        <v>0</v>
      </c>
      <c r="E7" s="8">
        <f>'Growth Curves'!E16</f>
        <v>0</v>
      </c>
      <c r="F7" s="8">
        <f>'Growth Curves'!F16</f>
        <v>1</v>
      </c>
      <c r="G7" s="8">
        <f>'Growth Curves'!G16</f>
        <v>2</v>
      </c>
      <c r="H7" s="8">
        <f>'Growth Curves'!H16</f>
        <v>3</v>
      </c>
      <c r="I7" s="8">
        <f>'Growth Curves'!I16</f>
        <v>5</v>
      </c>
      <c r="J7" s="8">
        <f>'Growth Curves'!J16</f>
        <v>6</v>
      </c>
      <c r="K7" s="8">
        <f>'Growth Curves'!K16</f>
        <v>8</v>
      </c>
      <c r="L7" s="8">
        <f>'Growth Curves'!L16</f>
        <v>9</v>
      </c>
      <c r="M7" s="8">
        <f>'Growth Curves'!M16</f>
        <v>11</v>
      </c>
      <c r="N7" s="8">
        <f>'Growth Curves'!N16</f>
        <v>12</v>
      </c>
      <c r="O7" s="8">
        <f>'Growth Curves'!O16</f>
        <v>14</v>
      </c>
      <c r="P7" s="8">
        <f>'Growth Curves'!P16</f>
        <v>15</v>
      </c>
      <c r="Q7" s="8">
        <f>'Growth Curves'!Q16</f>
        <v>16</v>
      </c>
      <c r="R7" s="8">
        <f>'Growth Curves'!R16</f>
        <v>18</v>
      </c>
      <c r="S7" s="8">
        <f>'Growth Curves'!S16</f>
        <v>19</v>
      </c>
      <c r="T7" s="8">
        <f>'Growth Curves'!T16</f>
        <v>20</v>
      </c>
      <c r="U7" s="8">
        <f>'Growth Curves'!U16</f>
        <v>21</v>
      </c>
      <c r="V7" s="8">
        <f>'Growth Curves'!V16</f>
        <v>23</v>
      </c>
      <c r="W7" s="8">
        <f>'Growth Curves'!W16</f>
        <v>24</v>
      </c>
      <c r="X7" s="8">
        <f>'Growth Curves'!X16</f>
        <v>25</v>
      </c>
      <c r="Y7" s="8">
        <f>'Growth Curves'!Y16</f>
        <v>26</v>
      </c>
      <c r="Z7" s="8">
        <f t="shared" si="1"/>
        <v>278</v>
      </c>
    </row>
    <row r="8">
      <c r="A8" s="9" t="s">
        <v>32</v>
      </c>
      <c r="B8" s="10">
        <f>'Growth Curves'!B17</f>
        <v>0</v>
      </c>
      <c r="C8" s="10">
        <f>'Growth Curves'!C17</f>
        <v>0</v>
      </c>
      <c r="D8" s="10">
        <f>'Growth Curves'!D17</f>
        <v>0</v>
      </c>
      <c r="E8" s="10">
        <f>'Growth Curves'!E17</f>
        <v>15</v>
      </c>
      <c r="F8" s="10">
        <f>'Growth Curves'!F17</f>
        <v>29</v>
      </c>
      <c r="G8" s="10">
        <f>'Growth Curves'!G17</f>
        <v>42</v>
      </c>
      <c r="H8" s="10">
        <f>'Growth Curves'!H17</f>
        <v>61</v>
      </c>
      <c r="I8" s="10">
        <f>'Growth Curves'!I17</f>
        <v>78</v>
      </c>
      <c r="J8" s="10">
        <f>'Growth Curves'!J17</f>
        <v>94</v>
      </c>
      <c r="K8" s="10">
        <f>'Growth Curves'!K17</f>
        <v>114</v>
      </c>
      <c r="L8" s="10">
        <f>'Growth Curves'!L17</f>
        <v>133</v>
      </c>
      <c r="M8" s="10">
        <f>'Growth Curves'!M17</f>
        <v>150</v>
      </c>
      <c r="N8" s="10">
        <f>'Growth Curves'!N17</f>
        <v>170</v>
      </c>
      <c r="O8" s="10">
        <f>'Growth Curves'!O17</f>
        <v>188</v>
      </c>
      <c r="P8" s="10">
        <f>'Growth Curves'!P17</f>
        <v>205</v>
      </c>
      <c r="Q8" s="10">
        <f>'Growth Curves'!Q17</f>
        <v>221</v>
      </c>
      <c r="R8" s="10">
        <f>'Growth Curves'!R17</f>
        <v>235</v>
      </c>
      <c r="S8" s="10">
        <f>'Growth Curves'!S17</f>
        <v>248</v>
      </c>
      <c r="T8" s="10">
        <f>'Growth Curves'!T17</f>
        <v>266</v>
      </c>
      <c r="U8" s="10">
        <f>'Growth Curves'!U17</f>
        <v>283</v>
      </c>
      <c r="V8" s="10">
        <f>'Growth Curves'!V17</f>
        <v>298</v>
      </c>
      <c r="W8" s="10">
        <f>'Growth Curves'!W17</f>
        <v>312</v>
      </c>
      <c r="X8" s="10">
        <f>'Growth Curves'!X17</f>
        <v>325</v>
      </c>
      <c r="Y8" s="10">
        <f>'Growth Curves'!Y17</f>
        <v>337</v>
      </c>
      <c r="Z8" s="10">
        <f t="shared" si="1"/>
        <v>3804</v>
      </c>
    </row>
    <row r="9">
      <c r="A9" s="7" t="s">
        <v>33</v>
      </c>
      <c r="B9" s="8">
        <f>'Growth Curves'!B18</f>
        <v>0</v>
      </c>
      <c r="C9" s="8">
        <f>'Growth Curves'!C18</f>
        <v>0</v>
      </c>
      <c r="D9" s="8">
        <f>'Growth Curves'!D18</f>
        <v>0</v>
      </c>
      <c r="E9" s="8">
        <f>'Growth Curves'!E18</f>
        <v>8</v>
      </c>
      <c r="F9" s="8">
        <f>'Growth Curves'!F18</f>
        <v>15</v>
      </c>
      <c r="G9" s="8">
        <f>'Growth Curves'!G18</f>
        <v>22</v>
      </c>
      <c r="H9" s="8">
        <f>'Growth Curves'!H18</f>
        <v>32</v>
      </c>
      <c r="I9" s="8">
        <f>'Growth Curves'!I18</f>
        <v>41</v>
      </c>
      <c r="J9" s="8">
        <f>'Growth Curves'!J18</f>
        <v>49</v>
      </c>
      <c r="K9" s="8">
        <f>'Growth Curves'!K18</f>
        <v>59</v>
      </c>
      <c r="L9" s="8">
        <f>'Growth Curves'!L18</f>
        <v>69</v>
      </c>
      <c r="M9" s="8">
        <f>'Growth Curves'!M18</f>
        <v>78</v>
      </c>
      <c r="N9" s="8">
        <f>'Growth Curves'!N18</f>
        <v>88</v>
      </c>
      <c r="O9" s="8">
        <f>'Growth Curves'!O18</f>
        <v>98</v>
      </c>
      <c r="P9" s="8">
        <f>'Growth Curves'!P18</f>
        <v>107</v>
      </c>
      <c r="Q9" s="8">
        <f>'Growth Curves'!Q18</f>
        <v>115</v>
      </c>
      <c r="R9" s="8">
        <f>'Growth Curves'!R18</f>
        <v>122</v>
      </c>
      <c r="S9" s="8">
        <f>'Growth Curves'!S18</f>
        <v>129</v>
      </c>
      <c r="T9" s="8">
        <f>'Growth Curves'!T18</f>
        <v>138</v>
      </c>
      <c r="U9" s="8">
        <f>'Growth Curves'!U18</f>
        <v>147</v>
      </c>
      <c r="V9" s="8">
        <f>'Growth Curves'!V18</f>
        <v>155</v>
      </c>
      <c r="W9" s="8">
        <f>'Growth Curves'!W18</f>
        <v>162</v>
      </c>
      <c r="X9" s="8">
        <f>'Growth Curves'!X18</f>
        <v>169</v>
      </c>
      <c r="Y9" s="8">
        <f>'Growth Curves'!Y18</f>
        <v>175</v>
      </c>
      <c r="Z9" s="8">
        <f t="shared" si="1"/>
        <v>1978</v>
      </c>
    </row>
    <row r="10">
      <c r="A10" s="7" t="s">
        <v>34</v>
      </c>
      <c r="B10" s="8">
        <f>'Growth Curves'!B19</f>
        <v>0</v>
      </c>
      <c r="C10" s="8">
        <f>'Growth Curves'!C19</f>
        <v>0</v>
      </c>
      <c r="D10" s="8">
        <f>'Growth Curves'!D19</f>
        <v>0</v>
      </c>
      <c r="E10" s="8">
        <f>'Growth Curves'!E19</f>
        <v>6</v>
      </c>
      <c r="F10" s="8">
        <f>'Growth Curves'!F19</f>
        <v>11</v>
      </c>
      <c r="G10" s="8">
        <f>'Growth Curves'!G19</f>
        <v>16</v>
      </c>
      <c r="H10" s="8">
        <f>'Growth Curves'!H19</f>
        <v>23</v>
      </c>
      <c r="I10" s="8">
        <f>'Growth Curves'!I19</f>
        <v>30</v>
      </c>
      <c r="J10" s="8">
        <f>'Growth Curves'!J19</f>
        <v>36</v>
      </c>
      <c r="K10" s="8">
        <f>'Growth Curves'!K19</f>
        <v>43</v>
      </c>
      <c r="L10" s="8">
        <f>'Growth Curves'!L19</f>
        <v>51</v>
      </c>
      <c r="M10" s="8">
        <f>'Growth Curves'!M19</f>
        <v>57</v>
      </c>
      <c r="N10" s="8">
        <f>'Growth Curves'!N19</f>
        <v>65</v>
      </c>
      <c r="O10" s="8">
        <f>'Growth Curves'!O19</f>
        <v>71</v>
      </c>
      <c r="P10" s="8">
        <f>'Growth Curves'!P19</f>
        <v>78</v>
      </c>
      <c r="Q10" s="8">
        <f>'Growth Curves'!Q19</f>
        <v>84</v>
      </c>
      <c r="R10" s="8">
        <f>'Growth Curves'!R19</f>
        <v>89</v>
      </c>
      <c r="S10" s="8">
        <f>'Growth Curves'!S19</f>
        <v>94</v>
      </c>
      <c r="T10" s="8">
        <f>'Growth Curves'!T19</f>
        <v>101</v>
      </c>
      <c r="U10" s="8">
        <f>'Growth Curves'!U19</f>
        <v>108</v>
      </c>
      <c r="V10" s="8">
        <f>'Growth Curves'!V19</f>
        <v>113</v>
      </c>
      <c r="W10" s="8">
        <f>'Growth Curves'!W19</f>
        <v>119</v>
      </c>
      <c r="X10" s="8">
        <f>'Growth Curves'!X19</f>
        <v>124</v>
      </c>
      <c r="Y10" s="8">
        <f>'Growth Curves'!Y19</f>
        <v>128</v>
      </c>
      <c r="Z10" s="8">
        <f t="shared" si="1"/>
        <v>1447</v>
      </c>
    </row>
    <row r="11">
      <c r="A11" s="7" t="s">
        <v>35</v>
      </c>
      <c r="B11" s="8">
        <f>'Growth Curves'!B20</f>
        <v>0</v>
      </c>
      <c r="C11" s="8">
        <f>'Growth Curves'!C20</f>
        <v>0</v>
      </c>
      <c r="D11" s="8">
        <f>'Growth Curves'!D20</f>
        <v>0</v>
      </c>
      <c r="E11" s="8">
        <f>'Growth Curves'!E20</f>
        <v>1</v>
      </c>
      <c r="F11" s="8">
        <f>'Growth Curves'!F20</f>
        <v>3</v>
      </c>
      <c r="G11" s="8">
        <f>'Growth Curves'!G20</f>
        <v>4</v>
      </c>
      <c r="H11" s="8">
        <f>'Growth Curves'!H20</f>
        <v>6</v>
      </c>
      <c r="I11" s="8">
        <f>'Growth Curves'!I20</f>
        <v>7</v>
      </c>
      <c r="J11" s="8">
        <f>'Growth Curves'!J20</f>
        <v>9</v>
      </c>
      <c r="K11" s="8">
        <f>'Growth Curves'!K20</f>
        <v>12</v>
      </c>
      <c r="L11" s="8">
        <f>'Growth Curves'!L20</f>
        <v>13</v>
      </c>
      <c r="M11" s="8">
        <f>'Growth Curves'!M20</f>
        <v>15</v>
      </c>
      <c r="N11" s="8">
        <f>'Growth Curves'!N20</f>
        <v>17</v>
      </c>
      <c r="O11" s="8">
        <f>'Growth Curves'!O20</f>
        <v>19</v>
      </c>
      <c r="P11" s="8">
        <f>'Growth Curves'!P20</f>
        <v>20</v>
      </c>
      <c r="Q11" s="8">
        <f>'Growth Curves'!Q20</f>
        <v>22</v>
      </c>
      <c r="R11" s="8">
        <f>'Growth Curves'!R20</f>
        <v>24</v>
      </c>
      <c r="S11" s="8">
        <f>'Growth Curves'!S20</f>
        <v>25</v>
      </c>
      <c r="T11" s="8">
        <f>'Growth Curves'!T20</f>
        <v>27</v>
      </c>
      <c r="U11" s="8">
        <f>'Growth Curves'!U20</f>
        <v>28</v>
      </c>
      <c r="V11" s="8">
        <f>'Growth Curves'!V20</f>
        <v>30</v>
      </c>
      <c r="W11" s="8">
        <f>'Growth Curves'!W20</f>
        <v>31</v>
      </c>
      <c r="X11" s="8">
        <f>'Growth Curves'!X20</f>
        <v>32</v>
      </c>
      <c r="Y11" s="8">
        <f>'Growth Curves'!Y20</f>
        <v>34</v>
      </c>
      <c r="Z11" s="8">
        <f t="shared" si="1"/>
        <v>379</v>
      </c>
    </row>
    <row r="12">
      <c r="A12" s="11"/>
    </row>
    <row r="13">
      <c r="A13" s="5" t="s">
        <v>36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2" t="s">
        <v>37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4" t="s">
        <v>38</v>
      </c>
      <c r="B15" s="15">
        <f>'Growth Curves'!B4</f>
        <v>0</v>
      </c>
      <c r="C15" s="15">
        <f>'Growth Curves'!C4</f>
        <v>0</v>
      </c>
      <c r="D15" s="15">
        <f>'Growth Curves'!D4</f>
        <v>0</v>
      </c>
      <c r="E15" s="15">
        <f>'Growth Curves'!E4</f>
        <v>50</v>
      </c>
      <c r="F15" s="15">
        <f>'Growth Curves'!F4</f>
        <v>100</v>
      </c>
      <c r="G15" s="15">
        <f>'Growth Curves'!G4</f>
        <v>150</v>
      </c>
      <c r="H15" s="15">
        <f>'Growth Curves'!H4</f>
        <v>250</v>
      </c>
      <c r="I15" s="15">
        <f>'Growth Curves'!I4</f>
        <v>350</v>
      </c>
      <c r="J15" s="15">
        <f>'Growth Curves'!J4</f>
        <v>450</v>
      </c>
      <c r="K15" s="15">
        <f>'Growth Curves'!K4</f>
        <v>600</v>
      </c>
      <c r="L15" s="15">
        <f>'Growth Curves'!L4</f>
        <v>750</v>
      </c>
      <c r="M15" s="15">
        <f>'Growth Curves'!M4</f>
        <v>900</v>
      </c>
      <c r="N15" s="15">
        <f>'Growth Curves'!N4</f>
        <v>1100</v>
      </c>
      <c r="O15" s="15">
        <f>'Growth Curves'!O4</f>
        <v>1300</v>
      </c>
      <c r="P15" s="15">
        <f>'Growth Curves'!P4</f>
        <v>1500</v>
      </c>
      <c r="Q15" s="15">
        <f>'Growth Curves'!Q4</f>
        <v>1800</v>
      </c>
      <c r="R15" s="15">
        <f>'Growth Curves'!R4</f>
        <v>2100</v>
      </c>
      <c r="S15" s="15">
        <f>'Growth Curves'!S4</f>
        <v>2400</v>
      </c>
      <c r="T15" s="15">
        <f>'Growth Curves'!T4</f>
        <v>2700</v>
      </c>
      <c r="U15" s="15">
        <f>'Growth Curves'!U4</f>
        <v>3000</v>
      </c>
      <c r="V15" s="15">
        <f>'Growth Curves'!V4</f>
        <v>3400</v>
      </c>
      <c r="W15" s="15">
        <f>'Growth Curves'!W4</f>
        <v>3800</v>
      </c>
      <c r="X15" s="15">
        <f>'Growth Curves'!X4</f>
        <v>4200</v>
      </c>
      <c r="Y15" s="15">
        <f>'Growth Curves'!Y4</f>
        <v>4600</v>
      </c>
      <c r="Z15" s="15">
        <f t="shared" ref="Z15:Z17" si="2">SUM(B15:Y15)</f>
        <v>35500</v>
      </c>
    </row>
    <row r="16">
      <c r="A16" s="14" t="s">
        <v>39</v>
      </c>
      <c r="B16" s="16">
        <f>Assumptions!B22</f>
        <v>49</v>
      </c>
      <c r="C16" s="16">
        <f>Assumptions!B22</f>
        <v>49</v>
      </c>
      <c r="D16" s="16">
        <f>Assumptions!B22</f>
        <v>49</v>
      </c>
      <c r="E16" s="16">
        <f>Assumptions!B22</f>
        <v>49</v>
      </c>
      <c r="F16" s="16">
        <f>Assumptions!B22</f>
        <v>49</v>
      </c>
      <c r="G16" s="16">
        <f>Assumptions!B22</f>
        <v>49</v>
      </c>
      <c r="H16" s="16">
        <f>Assumptions!B22</f>
        <v>49</v>
      </c>
      <c r="I16" s="16">
        <f>Assumptions!B22</f>
        <v>49</v>
      </c>
      <c r="J16" s="16">
        <f>Assumptions!B22</f>
        <v>49</v>
      </c>
      <c r="K16" s="16">
        <f>Assumptions!B22</f>
        <v>49</v>
      </c>
      <c r="L16" s="16">
        <f>Assumptions!B22</f>
        <v>49</v>
      </c>
      <c r="M16" s="16">
        <f>Assumptions!B22</f>
        <v>49</v>
      </c>
      <c r="N16" s="16">
        <f>Assumptions!B22</f>
        <v>49</v>
      </c>
      <c r="O16" s="16">
        <f>Assumptions!B22</f>
        <v>49</v>
      </c>
      <c r="P16" s="16">
        <f>Assumptions!B22</f>
        <v>49</v>
      </c>
      <c r="Q16" s="16">
        <f>Assumptions!B22</f>
        <v>49</v>
      </c>
      <c r="R16" s="16">
        <f>Assumptions!B22</f>
        <v>49</v>
      </c>
      <c r="S16" s="16">
        <f>Assumptions!B22</f>
        <v>49</v>
      </c>
      <c r="T16" s="16">
        <f>Assumptions!B22</f>
        <v>49</v>
      </c>
      <c r="U16" s="16">
        <f>Assumptions!B22</f>
        <v>49</v>
      </c>
      <c r="V16" s="16">
        <f>Assumptions!B22</f>
        <v>49</v>
      </c>
      <c r="W16" s="16">
        <f>Assumptions!B22</f>
        <v>49</v>
      </c>
      <c r="X16" s="16">
        <f>Assumptions!B22</f>
        <v>49</v>
      </c>
      <c r="Y16" s="16">
        <f>Assumptions!B22</f>
        <v>49</v>
      </c>
      <c r="Z16" s="16">
        <f t="shared" si="2"/>
        <v>1176</v>
      </c>
    </row>
    <row r="17">
      <c r="A17" s="17" t="s">
        <v>40</v>
      </c>
      <c r="B17" s="18">
        <f>B15*Assumptions!B22</f>
        <v>0</v>
      </c>
      <c r="C17" s="18">
        <f>C15*Assumptions!B22</f>
        <v>0</v>
      </c>
      <c r="D17" s="18">
        <f>D15*Assumptions!B22</f>
        <v>0</v>
      </c>
      <c r="E17" s="18">
        <f>E15*Assumptions!B22</f>
        <v>2450</v>
      </c>
      <c r="F17" s="18">
        <f>F15*Assumptions!B22</f>
        <v>4900</v>
      </c>
      <c r="G17" s="18">
        <f>G15*Assumptions!B22</f>
        <v>7350</v>
      </c>
      <c r="H17" s="18">
        <f>H15*Assumptions!B22</f>
        <v>12250</v>
      </c>
      <c r="I17" s="18">
        <f>I15*Assumptions!B22</f>
        <v>17150</v>
      </c>
      <c r="J17" s="18">
        <f>J15*Assumptions!B22</f>
        <v>22050</v>
      </c>
      <c r="K17" s="18">
        <f>K15*Assumptions!B22</f>
        <v>29400</v>
      </c>
      <c r="L17" s="18">
        <f>L15*Assumptions!B22</f>
        <v>36750</v>
      </c>
      <c r="M17" s="18">
        <f>M15*Assumptions!B22</f>
        <v>44100</v>
      </c>
      <c r="N17" s="18">
        <f>N15*Assumptions!B22</f>
        <v>53900</v>
      </c>
      <c r="O17" s="18">
        <f>O15*Assumptions!B22</f>
        <v>63700</v>
      </c>
      <c r="P17" s="18">
        <f>P15*Assumptions!B22</f>
        <v>73500</v>
      </c>
      <c r="Q17" s="18">
        <f>Q15*Assumptions!B22</f>
        <v>88200</v>
      </c>
      <c r="R17" s="18">
        <f>R15*Assumptions!B22</f>
        <v>102900</v>
      </c>
      <c r="S17" s="18">
        <f>S15*Assumptions!B22</f>
        <v>117600</v>
      </c>
      <c r="T17" s="18">
        <f>T15*Assumptions!B22</f>
        <v>132300</v>
      </c>
      <c r="U17" s="18">
        <f>U15*Assumptions!B22</f>
        <v>147000</v>
      </c>
      <c r="V17" s="18">
        <f>V15*Assumptions!B22</f>
        <v>166600</v>
      </c>
      <c r="W17" s="18">
        <f>W15*Assumptions!B22</f>
        <v>186200</v>
      </c>
      <c r="X17" s="18">
        <f>X15*Assumptions!B22</f>
        <v>205800</v>
      </c>
      <c r="Y17" s="18">
        <f>Y15*Assumptions!B22</f>
        <v>225400</v>
      </c>
      <c r="Z17" s="18">
        <f t="shared" si="2"/>
        <v>1739500</v>
      </c>
    </row>
    <row r="18">
      <c r="A18" s="12" t="s">
        <v>41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4" t="s">
        <v>42</v>
      </c>
      <c r="B19" s="15">
        <f>'Growth Curves'!B5</f>
        <v>0</v>
      </c>
      <c r="C19" s="15">
        <f>'Growth Curves'!C5</f>
        <v>0</v>
      </c>
      <c r="D19" s="15">
        <f>'Growth Curves'!D5</f>
        <v>0</v>
      </c>
      <c r="E19" s="15">
        <f>'Growth Curves'!E5</f>
        <v>10</v>
      </c>
      <c r="F19" s="15">
        <f>'Growth Curves'!F5</f>
        <v>20</v>
      </c>
      <c r="G19" s="15">
        <f>'Growth Curves'!G5</f>
        <v>35</v>
      </c>
      <c r="H19" s="15">
        <f>'Growth Curves'!H5</f>
        <v>50</v>
      </c>
      <c r="I19" s="15">
        <f>'Growth Curves'!I5</f>
        <v>65</v>
      </c>
      <c r="J19" s="15">
        <f>'Growth Curves'!J5</f>
        <v>80</v>
      </c>
      <c r="K19" s="15">
        <f>'Growth Curves'!K5</f>
        <v>100</v>
      </c>
      <c r="L19" s="15">
        <f>'Growth Curves'!L5</f>
        <v>120</v>
      </c>
      <c r="M19" s="15">
        <f>'Growth Curves'!M5</f>
        <v>140</v>
      </c>
      <c r="N19" s="15">
        <f>'Growth Curves'!N5</f>
        <v>160</v>
      </c>
      <c r="O19" s="15">
        <f>'Growth Curves'!O5</f>
        <v>180</v>
      </c>
      <c r="P19" s="15">
        <f>'Growth Curves'!P5</f>
        <v>200</v>
      </c>
      <c r="Q19" s="15">
        <f>'Growth Curves'!Q5</f>
        <v>220</v>
      </c>
      <c r="R19" s="15">
        <f>'Growth Curves'!R5</f>
        <v>240</v>
      </c>
      <c r="S19" s="15">
        <f>'Growth Curves'!S5</f>
        <v>260</v>
      </c>
      <c r="T19" s="15">
        <f>'Growth Curves'!T5</f>
        <v>280</v>
      </c>
      <c r="U19" s="15">
        <f>'Growth Curves'!U5</f>
        <v>300</v>
      </c>
      <c r="V19" s="15">
        <f>'Growth Curves'!V5</f>
        <v>300</v>
      </c>
      <c r="W19" s="15">
        <f>'Growth Curves'!W5</f>
        <v>300</v>
      </c>
      <c r="X19" s="15">
        <f>'Growth Curves'!X5</f>
        <v>300</v>
      </c>
      <c r="Y19" s="15">
        <f>'Growth Curves'!Y5</f>
        <v>300</v>
      </c>
      <c r="Z19" s="15">
        <f t="shared" ref="Z19:Z21" si="3">SUM(B19:Y19)</f>
        <v>3660</v>
      </c>
    </row>
    <row r="20">
      <c r="A20" s="14" t="s">
        <v>43</v>
      </c>
      <c r="B20" s="16">
        <f>Assumptions!B24</f>
        <v>0</v>
      </c>
      <c r="C20" s="16">
        <f>Assumptions!B24</f>
        <v>0</v>
      </c>
      <c r="D20" s="16">
        <f>Assumptions!B24</f>
        <v>0</v>
      </c>
      <c r="E20" s="16">
        <f>Assumptions!B24</f>
        <v>0</v>
      </c>
      <c r="F20" s="16">
        <f>Assumptions!B24</f>
        <v>0</v>
      </c>
      <c r="G20" s="16">
        <f>Assumptions!B24</f>
        <v>0</v>
      </c>
      <c r="H20" s="16">
        <f>Assumptions!B24</f>
        <v>0</v>
      </c>
      <c r="I20" s="16">
        <f>Assumptions!B24</f>
        <v>0</v>
      </c>
      <c r="J20" s="16">
        <f>Assumptions!B24</f>
        <v>0</v>
      </c>
      <c r="K20" s="16">
        <f>Assumptions!B24</f>
        <v>0</v>
      </c>
      <c r="L20" s="16">
        <f>Assumptions!B24</f>
        <v>0</v>
      </c>
      <c r="M20" s="16">
        <f>Assumptions!B24</f>
        <v>0</v>
      </c>
      <c r="N20" s="16">
        <f>Assumptions!B24</f>
        <v>0</v>
      </c>
      <c r="O20" s="16">
        <f>Assumptions!B24</f>
        <v>0</v>
      </c>
      <c r="P20" s="16">
        <f>Assumptions!B24</f>
        <v>0</v>
      </c>
      <c r="Q20" s="16">
        <f>Assumptions!B24</f>
        <v>0</v>
      </c>
      <c r="R20" s="16">
        <f>Assumptions!B24</f>
        <v>0</v>
      </c>
      <c r="S20" s="16">
        <f>Assumptions!B24</f>
        <v>0</v>
      </c>
      <c r="T20" s="16">
        <f>Assumptions!B24</f>
        <v>0</v>
      </c>
      <c r="U20" s="16">
        <f>Assumptions!B24</f>
        <v>0</v>
      </c>
      <c r="V20" s="16">
        <f>Assumptions!B24</f>
        <v>0</v>
      </c>
      <c r="W20" s="16">
        <f>Assumptions!B24</f>
        <v>0</v>
      </c>
      <c r="X20" s="16">
        <f>Assumptions!B24</f>
        <v>0</v>
      </c>
      <c r="Y20" s="16">
        <f>Assumptions!B24</f>
        <v>0</v>
      </c>
      <c r="Z20" s="16">
        <f t="shared" si="3"/>
        <v>0</v>
      </c>
    </row>
    <row r="21" ht="15.75" customHeight="1">
      <c r="A21" s="17" t="s">
        <v>44</v>
      </c>
      <c r="B21" s="18">
        <f>B19*Assumptions!B24</f>
        <v>0</v>
      </c>
      <c r="C21" s="18">
        <f>C19*Assumptions!B24</f>
        <v>0</v>
      </c>
      <c r="D21" s="18">
        <f>D19*Assumptions!B24</f>
        <v>0</v>
      </c>
      <c r="E21" s="18">
        <f>E19*Assumptions!B24</f>
        <v>0</v>
      </c>
      <c r="F21" s="18">
        <f>F19*Assumptions!B24</f>
        <v>0</v>
      </c>
      <c r="G21" s="18">
        <f>G19*Assumptions!B24</f>
        <v>0</v>
      </c>
      <c r="H21" s="18">
        <f>H19*Assumptions!B24</f>
        <v>0</v>
      </c>
      <c r="I21" s="18">
        <f>I19*Assumptions!B24</f>
        <v>0</v>
      </c>
      <c r="J21" s="18">
        <f>J19*Assumptions!B24</f>
        <v>0</v>
      </c>
      <c r="K21" s="18">
        <f>K19*Assumptions!B24</f>
        <v>0</v>
      </c>
      <c r="L21" s="18">
        <f>L19*Assumptions!B24</f>
        <v>0</v>
      </c>
      <c r="M21" s="18">
        <f>M19*Assumptions!B24</f>
        <v>0</v>
      </c>
      <c r="N21" s="18">
        <f>N19*Assumptions!B24</f>
        <v>0</v>
      </c>
      <c r="O21" s="18">
        <f>O19*Assumptions!B24</f>
        <v>0</v>
      </c>
      <c r="P21" s="18">
        <f>P19*Assumptions!B24</f>
        <v>0</v>
      </c>
      <c r="Q21" s="18">
        <f>Q19*Assumptions!B24</f>
        <v>0</v>
      </c>
      <c r="R21" s="18">
        <f>R19*Assumptions!B24</f>
        <v>0</v>
      </c>
      <c r="S21" s="18">
        <f>S19*Assumptions!B24</f>
        <v>0</v>
      </c>
      <c r="T21" s="18">
        <f>T19*Assumptions!B24</f>
        <v>0</v>
      </c>
      <c r="U21" s="18">
        <f>U19*Assumptions!B24</f>
        <v>0</v>
      </c>
      <c r="V21" s="18">
        <f>V19*Assumptions!B24</f>
        <v>0</v>
      </c>
      <c r="W21" s="18">
        <f>W19*Assumptions!B24</f>
        <v>0</v>
      </c>
      <c r="X21" s="18">
        <f>X19*Assumptions!B24</f>
        <v>0</v>
      </c>
      <c r="Y21" s="18">
        <f>Y19*Assumptions!B24</f>
        <v>0</v>
      </c>
      <c r="Z21" s="18">
        <f t="shared" si="3"/>
        <v>0</v>
      </c>
    </row>
    <row r="22" ht="15.75" customHeight="1">
      <c r="A22" s="12" t="s">
        <v>45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14" t="s">
        <v>38</v>
      </c>
      <c r="B23" s="15">
        <f>'Growth Curves'!B6</f>
        <v>0</v>
      </c>
      <c r="C23" s="15">
        <f>'Growth Curves'!C6</f>
        <v>0</v>
      </c>
      <c r="D23" s="15">
        <f>'Growth Curves'!D6</f>
        <v>0</v>
      </c>
      <c r="E23" s="15">
        <f>'Growth Curves'!E6</f>
        <v>100</v>
      </c>
      <c r="F23" s="15">
        <f>'Growth Curves'!F6</f>
        <v>150</v>
      </c>
      <c r="G23" s="15">
        <f>'Growth Curves'!G6</f>
        <v>250</v>
      </c>
      <c r="H23" s="15">
        <f>'Growth Curves'!H6</f>
        <v>350</v>
      </c>
      <c r="I23" s="15">
        <f>'Growth Curves'!I6</f>
        <v>450</v>
      </c>
      <c r="J23" s="15">
        <f>'Growth Curves'!J6</f>
        <v>550</v>
      </c>
      <c r="K23" s="15">
        <f>'Growth Curves'!K6</f>
        <v>650</v>
      </c>
      <c r="L23" s="15">
        <f>'Growth Curves'!L6</f>
        <v>750</v>
      </c>
      <c r="M23" s="15">
        <f>'Growth Curves'!M6</f>
        <v>850</v>
      </c>
      <c r="N23" s="15">
        <f>'Growth Curves'!N6</f>
        <v>950</v>
      </c>
      <c r="O23" s="15">
        <f>'Growth Curves'!O6</f>
        <v>1050</v>
      </c>
      <c r="P23" s="15">
        <f>'Growth Curves'!P6</f>
        <v>1150</v>
      </c>
      <c r="Q23" s="15">
        <f>'Growth Curves'!Q6</f>
        <v>1250</v>
      </c>
      <c r="R23" s="15">
        <f>'Growth Curves'!R6</f>
        <v>1350</v>
      </c>
      <c r="S23" s="15">
        <f>'Growth Curves'!S6</f>
        <v>1450</v>
      </c>
      <c r="T23" s="15">
        <f>'Growth Curves'!T6</f>
        <v>1550</v>
      </c>
      <c r="U23" s="15">
        <f>'Growth Curves'!U6</f>
        <v>1650</v>
      </c>
      <c r="V23" s="15">
        <f>'Growth Curves'!V6</f>
        <v>1750</v>
      </c>
      <c r="W23" s="15">
        <f>'Growth Curves'!W6</f>
        <v>1850</v>
      </c>
      <c r="X23" s="15">
        <f>'Growth Curves'!X6</f>
        <v>1950</v>
      </c>
      <c r="Y23" s="15">
        <f>'Growth Curves'!Y6</f>
        <v>2000</v>
      </c>
      <c r="Z23" s="15">
        <f t="shared" ref="Z23:Z25" si="4">SUM(B23:Y23)</f>
        <v>22050</v>
      </c>
    </row>
    <row r="24" ht="15.75" customHeight="1">
      <c r="A24" s="14" t="s">
        <v>46</v>
      </c>
      <c r="B24" s="16">
        <f>Assumptions!B26</f>
        <v>9.67</v>
      </c>
      <c r="C24" s="16">
        <f>Assumptions!B26</f>
        <v>9.67</v>
      </c>
      <c r="D24" s="16">
        <f>Assumptions!B26</f>
        <v>9.67</v>
      </c>
      <c r="E24" s="16">
        <f>Assumptions!B26</f>
        <v>9.67</v>
      </c>
      <c r="F24" s="16">
        <f>Assumptions!B26</f>
        <v>9.67</v>
      </c>
      <c r="G24" s="16">
        <f>Assumptions!B26</f>
        <v>9.67</v>
      </c>
      <c r="H24" s="16">
        <f>Assumptions!B26</f>
        <v>9.67</v>
      </c>
      <c r="I24" s="16">
        <f>Assumptions!B26</f>
        <v>9.67</v>
      </c>
      <c r="J24" s="16">
        <f>Assumptions!B26</f>
        <v>9.67</v>
      </c>
      <c r="K24" s="16">
        <f>Assumptions!B26</f>
        <v>9.67</v>
      </c>
      <c r="L24" s="16">
        <f>Assumptions!B26</f>
        <v>9.67</v>
      </c>
      <c r="M24" s="16">
        <f>Assumptions!B26</f>
        <v>9.67</v>
      </c>
      <c r="N24" s="16">
        <f>Assumptions!B26</f>
        <v>9.67</v>
      </c>
      <c r="O24" s="16">
        <f>Assumptions!B26</f>
        <v>9.67</v>
      </c>
      <c r="P24" s="16">
        <f>Assumptions!B26</f>
        <v>9.67</v>
      </c>
      <c r="Q24" s="16">
        <f>Assumptions!B26</f>
        <v>9.67</v>
      </c>
      <c r="R24" s="16">
        <f>Assumptions!B26</f>
        <v>9.67</v>
      </c>
      <c r="S24" s="16">
        <f>Assumptions!B26</f>
        <v>9.67</v>
      </c>
      <c r="T24" s="16">
        <f>Assumptions!B26</f>
        <v>9.67</v>
      </c>
      <c r="U24" s="16">
        <f>Assumptions!B26</f>
        <v>9.67</v>
      </c>
      <c r="V24" s="16">
        <f>Assumptions!B26</f>
        <v>9.67</v>
      </c>
      <c r="W24" s="16">
        <f>Assumptions!B26</f>
        <v>9.67</v>
      </c>
      <c r="X24" s="16">
        <f>Assumptions!B26</f>
        <v>9.67</v>
      </c>
      <c r="Y24" s="16">
        <f>Assumptions!B26</f>
        <v>9.67</v>
      </c>
      <c r="Z24" s="16">
        <f t="shared" si="4"/>
        <v>232.08</v>
      </c>
    </row>
    <row r="25" ht="15.75" customHeight="1">
      <c r="A25" s="17" t="s">
        <v>40</v>
      </c>
      <c r="B25" s="18">
        <f>ROUND(B23*Assumptions!B26,0)</f>
        <v>0</v>
      </c>
      <c r="C25" s="18">
        <f>ROUND(C23*Assumptions!B26,0)</f>
        <v>0</v>
      </c>
      <c r="D25" s="18">
        <f>ROUND(D23*Assumptions!B26,0)</f>
        <v>0</v>
      </c>
      <c r="E25" s="18">
        <f>ROUND(E23*Assumptions!B26,0)</f>
        <v>967</v>
      </c>
      <c r="F25" s="18">
        <f>ROUND(F23*Assumptions!B26,0)</f>
        <v>1451</v>
      </c>
      <c r="G25" s="18">
        <f>ROUND(G23*Assumptions!B26,0)</f>
        <v>2418</v>
      </c>
      <c r="H25" s="18">
        <f>ROUND(H23*Assumptions!B26,0)</f>
        <v>3385</v>
      </c>
      <c r="I25" s="18">
        <f>ROUND(I23*Assumptions!B26,0)</f>
        <v>4352</v>
      </c>
      <c r="J25" s="18">
        <f>ROUND(J23*Assumptions!B26,0)</f>
        <v>5319</v>
      </c>
      <c r="K25" s="18">
        <f>ROUND(K23*Assumptions!B26,0)</f>
        <v>6286</v>
      </c>
      <c r="L25" s="18">
        <f>ROUND(L23*Assumptions!B26,0)</f>
        <v>7253</v>
      </c>
      <c r="M25" s="18">
        <f>ROUND(M23*Assumptions!B26,0)</f>
        <v>8220</v>
      </c>
      <c r="N25" s="18">
        <f>ROUND(N23*Assumptions!B26,0)</f>
        <v>9187</v>
      </c>
      <c r="O25" s="18">
        <f>ROUND(O23*Assumptions!B26,0)</f>
        <v>10154</v>
      </c>
      <c r="P25" s="18">
        <f>ROUND(P23*Assumptions!B26,0)</f>
        <v>11121</v>
      </c>
      <c r="Q25" s="18">
        <f>ROUND(Q23*Assumptions!B26,0)</f>
        <v>12088</v>
      </c>
      <c r="R25" s="18">
        <f>ROUND(R23*Assumptions!B26,0)</f>
        <v>13055</v>
      </c>
      <c r="S25" s="18">
        <f>ROUND(S23*Assumptions!B26,0)</f>
        <v>14022</v>
      </c>
      <c r="T25" s="18">
        <f>ROUND(T23*Assumptions!B26,0)</f>
        <v>14989</v>
      </c>
      <c r="U25" s="18">
        <f>ROUND(U23*Assumptions!B26,0)</f>
        <v>15956</v>
      </c>
      <c r="V25" s="18">
        <f>ROUND(V23*Assumptions!B26,0)</f>
        <v>16923</v>
      </c>
      <c r="W25" s="18">
        <f>ROUND(W23*Assumptions!B26,0)</f>
        <v>17890</v>
      </c>
      <c r="X25" s="18">
        <f>ROUND(X23*Assumptions!B26,0)</f>
        <v>18857</v>
      </c>
      <c r="Y25" s="18">
        <f>ROUND(Y23*Assumptions!B26,0)</f>
        <v>19340</v>
      </c>
      <c r="Z25" s="18">
        <f t="shared" si="4"/>
        <v>213233</v>
      </c>
    </row>
    <row r="26" ht="15.75" customHeight="1">
      <c r="A26" s="12" t="s">
        <v>47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14" t="s">
        <v>48</v>
      </c>
      <c r="B27" s="15">
        <f>'Growth Curves'!B7</f>
        <v>0</v>
      </c>
      <c r="C27" s="15">
        <f>'Growth Curves'!C7</f>
        <v>0</v>
      </c>
      <c r="D27" s="15">
        <f>'Growth Curves'!D7</f>
        <v>0</v>
      </c>
      <c r="E27" s="15">
        <f>'Growth Curves'!E7</f>
        <v>1</v>
      </c>
      <c r="F27" s="15">
        <f>'Growth Curves'!F7</f>
        <v>1</v>
      </c>
      <c r="G27" s="15">
        <f>'Growth Curves'!G7</f>
        <v>2</v>
      </c>
      <c r="H27" s="15">
        <f>'Growth Curves'!H7</f>
        <v>2</v>
      </c>
      <c r="I27" s="15">
        <f>'Growth Curves'!I7</f>
        <v>3</v>
      </c>
      <c r="J27" s="15">
        <f>'Growth Curves'!J7</f>
        <v>3</v>
      </c>
      <c r="K27" s="15">
        <f>'Growth Curves'!K7</f>
        <v>3</v>
      </c>
      <c r="L27" s="15">
        <f>'Growth Curves'!L7</f>
        <v>3</v>
      </c>
      <c r="M27" s="15">
        <f>'Growth Curves'!M7</f>
        <v>3</v>
      </c>
      <c r="N27" s="15">
        <f>'Growth Curves'!N7</f>
        <v>3</v>
      </c>
      <c r="O27" s="15">
        <f>'Growth Curves'!O7</f>
        <v>3</v>
      </c>
      <c r="P27" s="15">
        <f>'Growth Curves'!P7</f>
        <v>4</v>
      </c>
      <c r="Q27" s="15">
        <f>'Growth Curves'!Q7</f>
        <v>4</v>
      </c>
      <c r="R27" s="15">
        <f>'Growth Curves'!R7</f>
        <v>4</v>
      </c>
      <c r="S27" s="15">
        <f>'Growth Curves'!S7</f>
        <v>4</v>
      </c>
      <c r="T27" s="15">
        <f>'Growth Curves'!T7</f>
        <v>4</v>
      </c>
      <c r="U27" s="15">
        <f>'Growth Curves'!U7</f>
        <v>5</v>
      </c>
      <c r="V27" s="15">
        <f>'Growth Curves'!V7</f>
        <v>5</v>
      </c>
      <c r="W27" s="15">
        <f>'Growth Curves'!W7</f>
        <v>5</v>
      </c>
      <c r="X27" s="15">
        <f>'Growth Curves'!X7</f>
        <v>5</v>
      </c>
      <c r="Y27" s="15">
        <f>'Growth Curves'!Y7</f>
        <v>5</v>
      </c>
      <c r="Z27" s="15">
        <f t="shared" ref="Z27:Z31" si="5">SUM(B27:Y27)</f>
        <v>72</v>
      </c>
    </row>
    <row r="28" ht="15.75" customHeight="1">
      <c r="A28" s="14" t="s">
        <v>49</v>
      </c>
      <c r="B28" s="15">
        <f>'Growth Curves'!B8</f>
        <v>0</v>
      </c>
      <c r="C28" s="15">
        <f>'Growth Curves'!C8</f>
        <v>0</v>
      </c>
      <c r="D28" s="15">
        <f>'Growth Curves'!D8</f>
        <v>0</v>
      </c>
      <c r="E28" s="15">
        <f>'Growth Curves'!E8</f>
        <v>12</v>
      </c>
      <c r="F28" s="15">
        <f>'Growth Curves'!F8</f>
        <v>15</v>
      </c>
      <c r="G28" s="15">
        <f>'Growth Curves'!G8</f>
        <v>15</v>
      </c>
      <c r="H28" s="15">
        <f>'Growth Curves'!H8</f>
        <v>18</v>
      </c>
      <c r="I28" s="15">
        <f>'Growth Curves'!I8</f>
        <v>18</v>
      </c>
      <c r="J28" s="15">
        <f>'Growth Curves'!J8</f>
        <v>18</v>
      </c>
      <c r="K28" s="15">
        <f>'Growth Curves'!K8</f>
        <v>20</v>
      </c>
      <c r="L28" s="15">
        <f>'Growth Curves'!L8</f>
        <v>20</v>
      </c>
      <c r="M28" s="15">
        <f>'Growth Curves'!M8</f>
        <v>20</v>
      </c>
      <c r="N28" s="15">
        <f>'Growth Curves'!N8</f>
        <v>22</v>
      </c>
      <c r="O28" s="15">
        <f>'Growth Curves'!O8</f>
        <v>22</v>
      </c>
      <c r="P28" s="15">
        <f>'Growth Curves'!P8</f>
        <v>22</v>
      </c>
      <c r="Q28" s="15">
        <f>'Growth Curves'!Q8</f>
        <v>22</v>
      </c>
      <c r="R28" s="15">
        <f>'Growth Curves'!R8</f>
        <v>24</v>
      </c>
      <c r="S28" s="15">
        <f>'Growth Curves'!S8</f>
        <v>24</v>
      </c>
      <c r="T28" s="15">
        <f>'Growth Curves'!T8</f>
        <v>25</v>
      </c>
      <c r="U28" s="15">
        <f>'Growth Curves'!U8</f>
        <v>25</v>
      </c>
      <c r="V28" s="15">
        <f>'Growth Curves'!V8</f>
        <v>25</v>
      </c>
      <c r="W28" s="15">
        <f>'Growth Curves'!W8</f>
        <v>25</v>
      </c>
      <c r="X28" s="15">
        <f>'Growth Curves'!X8</f>
        <v>25</v>
      </c>
      <c r="Y28" s="15">
        <f>'Growth Curves'!Y8</f>
        <v>25</v>
      </c>
      <c r="Z28" s="15">
        <f t="shared" si="5"/>
        <v>442</v>
      </c>
    </row>
    <row r="29" ht="15.75" customHeight="1">
      <c r="A29" s="14" t="s">
        <v>50</v>
      </c>
      <c r="B29" s="15">
        <f t="shared" ref="B29:Y29" si="6">B27*B28</f>
        <v>0</v>
      </c>
      <c r="C29" s="15">
        <f t="shared" si="6"/>
        <v>0</v>
      </c>
      <c r="D29" s="15">
        <f t="shared" si="6"/>
        <v>0</v>
      </c>
      <c r="E29" s="15">
        <f t="shared" si="6"/>
        <v>12</v>
      </c>
      <c r="F29" s="15">
        <f t="shared" si="6"/>
        <v>15</v>
      </c>
      <c r="G29" s="15">
        <f t="shared" si="6"/>
        <v>30</v>
      </c>
      <c r="H29" s="15">
        <f t="shared" si="6"/>
        <v>36</v>
      </c>
      <c r="I29" s="15">
        <f t="shared" si="6"/>
        <v>54</v>
      </c>
      <c r="J29" s="15">
        <f t="shared" si="6"/>
        <v>54</v>
      </c>
      <c r="K29" s="15">
        <f t="shared" si="6"/>
        <v>60</v>
      </c>
      <c r="L29" s="15">
        <f t="shared" si="6"/>
        <v>60</v>
      </c>
      <c r="M29" s="15">
        <f t="shared" si="6"/>
        <v>60</v>
      </c>
      <c r="N29" s="15">
        <f t="shared" si="6"/>
        <v>66</v>
      </c>
      <c r="O29" s="15">
        <f t="shared" si="6"/>
        <v>66</v>
      </c>
      <c r="P29" s="15">
        <f t="shared" si="6"/>
        <v>88</v>
      </c>
      <c r="Q29" s="15">
        <f t="shared" si="6"/>
        <v>88</v>
      </c>
      <c r="R29" s="15">
        <f t="shared" si="6"/>
        <v>96</v>
      </c>
      <c r="S29" s="15">
        <f t="shared" si="6"/>
        <v>96</v>
      </c>
      <c r="T29" s="15">
        <f t="shared" si="6"/>
        <v>100</v>
      </c>
      <c r="U29" s="15">
        <f t="shared" si="6"/>
        <v>125</v>
      </c>
      <c r="V29" s="15">
        <f t="shared" si="6"/>
        <v>125</v>
      </c>
      <c r="W29" s="15">
        <f t="shared" si="6"/>
        <v>125</v>
      </c>
      <c r="X29" s="15">
        <f t="shared" si="6"/>
        <v>125</v>
      </c>
      <c r="Y29" s="15">
        <f t="shared" si="6"/>
        <v>125</v>
      </c>
      <c r="Z29" s="15">
        <f t="shared" si="5"/>
        <v>1606</v>
      </c>
    </row>
    <row r="30" ht="15.75" customHeight="1">
      <c r="A30" s="14" t="s">
        <v>51</v>
      </c>
      <c r="B30" s="16">
        <f>Assumptions!B28</f>
        <v>35</v>
      </c>
      <c r="C30" s="16">
        <f>Assumptions!B28</f>
        <v>35</v>
      </c>
      <c r="D30" s="16">
        <f>Assumptions!B28</f>
        <v>35</v>
      </c>
      <c r="E30" s="16">
        <f>Assumptions!B28</f>
        <v>35</v>
      </c>
      <c r="F30" s="16">
        <f>Assumptions!B28</f>
        <v>35</v>
      </c>
      <c r="G30" s="16">
        <f>Assumptions!B28</f>
        <v>35</v>
      </c>
      <c r="H30" s="16">
        <f>Assumptions!B28</f>
        <v>35</v>
      </c>
      <c r="I30" s="16">
        <f>Assumptions!B28</f>
        <v>35</v>
      </c>
      <c r="J30" s="16">
        <f>Assumptions!B28</f>
        <v>35</v>
      </c>
      <c r="K30" s="16">
        <f>Assumptions!B28</f>
        <v>35</v>
      </c>
      <c r="L30" s="16">
        <f>Assumptions!B28</f>
        <v>35</v>
      </c>
      <c r="M30" s="16">
        <f>Assumptions!B28</f>
        <v>35</v>
      </c>
      <c r="N30" s="16">
        <f>Assumptions!B28</f>
        <v>35</v>
      </c>
      <c r="O30" s="16">
        <f>Assumptions!B28</f>
        <v>35</v>
      </c>
      <c r="P30" s="16">
        <f>Assumptions!B28</f>
        <v>35</v>
      </c>
      <c r="Q30" s="16">
        <f>Assumptions!B28</f>
        <v>35</v>
      </c>
      <c r="R30" s="16">
        <f>Assumptions!B28</f>
        <v>35</v>
      </c>
      <c r="S30" s="16">
        <f>Assumptions!B28</f>
        <v>35</v>
      </c>
      <c r="T30" s="16">
        <f>Assumptions!B28</f>
        <v>35</v>
      </c>
      <c r="U30" s="16">
        <f>Assumptions!B28</f>
        <v>35</v>
      </c>
      <c r="V30" s="16">
        <f>Assumptions!B28</f>
        <v>35</v>
      </c>
      <c r="W30" s="16">
        <f>Assumptions!B28</f>
        <v>35</v>
      </c>
      <c r="X30" s="16">
        <f>Assumptions!B28</f>
        <v>35</v>
      </c>
      <c r="Y30" s="16">
        <f>Assumptions!B28</f>
        <v>35</v>
      </c>
      <c r="Z30" s="16">
        <f t="shared" si="5"/>
        <v>840</v>
      </c>
    </row>
    <row r="31" ht="15.75" customHeight="1">
      <c r="A31" s="17" t="s">
        <v>40</v>
      </c>
      <c r="B31" s="18">
        <f>B29*Assumptions!B28</f>
        <v>0</v>
      </c>
      <c r="C31" s="18">
        <f>C29*Assumptions!B28</f>
        <v>0</v>
      </c>
      <c r="D31" s="18">
        <f>D29*Assumptions!B28</f>
        <v>0</v>
      </c>
      <c r="E31" s="18">
        <f>E29*Assumptions!B28</f>
        <v>420</v>
      </c>
      <c r="F31" s="18">
        <f>F29*Assumptions!B28</f>
        <v>525</v>
      </c>
      <c r="G31" s="18">
        <f>G29*Assumptions!B28</f>
        <v>1050</v>
      </c>
      <c r="H31" s="18">
        <f>H29*Assumptions!B28</f>
        <v>1260</v>
      </c>
      <c r="I31" s="18">
        <f>I29*Assumptions!B28</f>
        <v>1890</v>
      </c>
      <c r="J31" s="18">
        <f>J29*Assumptions!B28</f>
        <v>1890</v>
      </c>
      <c r="K31" s="18">
        <f>K29*Assumptions!B28</f>
        <v>2100</v>
      </c>
      <c r="L31" s="18">
        <f>L29*Assumptions!B28</f>
        <v>2100</v>
      </c>
      <c r="M31" s="18">
        <f>M29*Assumptions!B28</f>
        <v>2100</v>
      </c>
      <c r="N31" s="18">
        <f>N29*Assumptions!B28</f>
        <v>2310</v>
      </c>
      <c r="O31" s="18">
        <f>O29*Assumptions!B28</f>
        <v>2310</v>
      </c>
      <c r="P31" s="18">
        <f>P29*Assumptions!B28</f>
        <v>3080</v>
      </c>
      <c r="Q31" s="18">
        <f>Q29*Assumptions!B28</f>
        <v>3080</v>
      </c>
      <c r="R31" s="18">
        <f>R29*Assumptions!B28</f>
        <v>3360</v>
      </c>
      <c r="S31" s="18">
        <f>S29*Assumptions!B28</f>
        <v>3360</v>
      </c>
      <c r="T31" s="18">
        <f>T29*Assumptions!B28</f>
        <v>3500</v>
      </c>
      <c r="U31" s="18">
        <f>U29*Assumptions!B28</f>
        <v>4375</v>
      </c>
      <c r="V31" s="18">
        <f>V29*Assumptions!B28</f>
        <v>4375</v>
      </c>
      <c r="W31" s="18">
        <f>W29*Assumptions!B28</f>
        <v>4375</v>
      </c>
      <c r="X31" s="18">
        <f>X29*Assumptions!B28</f>
        <v>4375</v>
      </c>
      <c r="Y31" s="18">
        <f>Y29*Assumptions!B28</f>
        <v>4375</v>
      </c>
      <c r="Z31" s="18">
        <f t="shared" si="5"/>
        <v>56210</v>
      </c>
    </row>
    <row r="32" ht="15.75" customHeight="1">
      <c r="A32" s="12" t="s">
        <v>52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14" t="s">
        <v>53</v>
      </c>
      <c r="B33" s="15">
        <f>'Growth Curves'!B9</f>
        <v>0</v>
      </c>
      <c r="C33" s="15">
        <f>'Growth Curves'!C9</f>
        <v>0</v>
      </c>
      <c r="D33" s="15">
        <f>'Growth Curves'!D9</f>
        <v>0</v>
      </c>
      <c r="E33" s="15">
        <f>'Growth Curves'!E9</f>
        <v>0</v>
      </c>
      <c r="F33" s="15">
        <f>'Growth Curves'!F9</f>
        <v>0</v>
      </c>
      <c r="G33" s="15">
        <f>'Growth Curves'!G9</f>
        <v>2</v>
      </c>
      <c r="H33" s="15">
        <f>'Growth Curves'!H9</f>
        <v>5</v>
      </c>
      <c r="I33" s="15">
        <f>'Growth Curves'!I9</f>
        <v>8</v>
      </c>
      <c r="J33" s="15">
        <f>'Growth Curves'!J9</f>
        <v>10</v>
      </c>
      <c r="K33" s="15">
        <f>'Growth Curves'!K9</f>
        <v>12</v>
      </c>
      <c r="L33" s="15">
        <f>'Growth Curves'!L9</f>
        <v>15</v>
      </c>
      <c r="M33" s="15">
        <f>'Growth Curves'!M9</f>
        <v>17</v>
      </c>
      <c r="N33" s="15">
        <f>'Growth Curves'!N9</f>
        <v>18</v>
      </c>
      <c r="O33" s="15">
        <f>'Growth Curves'!O9</f>
        <v>19</v>
      </c>
      <c r="P33" s="15">
        <f>'Growth Curves'!P9</f>
        <v>20</v>
      </c>
      <c r="Q33" s="15">
        <f>'Growth Curves'!Q9</f>
        <v>20</v>
      </c>
      <c r="R33" s="15">
        <f>'Growth Curves'!R9</f>
        <v>20</v>
      </c>
      <c r="S33" s="15">
        <f>'Growth Curves'!S9</f>
        <v>20</v>
      </c>
      <c r="T33" s="15">
        <f>'Growth Curves'!T9</f>
        <v>20</v>
      </c>
      <c r="U33" s="15">
        <f>'Growth Curves'!U9</f>
        <v>20</v>
      </c>
      <c r="V33" s="15">
        <f>'Growth Curves'!V9</f>
        <v>20</v>
      </c>
      <c r="W33" s="15">
        <f>'Growth Curves'!W9</f>
        <v>20</v>
      </c>
      <c r="X33" s="15">
        <f>'Growth Curves'!X9</f>
        <v>20</v>
      </c>
      <c r="Y33" s="15">
        <f>'Growth Curves'!Y9</f>
        <v>20</v>
      </c>
      <c r="Z33" s="15">
        <f t="shared" ref="Z33:Z37" si="7">SUM(B33:Y33)</f>
        <v>306</v>
      </c>
    </row>
    <row r="34" ht="15.75" customHeight="1">
      <c r="A34" s="14" t="s">
        <v>54</v>
      </c>
      <c r="B34" s="16">
        <f>Assumptions!B31</f>
        <v>99</v>
      </c>
      <c r="C34" s="16">
        <f>Assumptions!B31</f>
        <v>99</v>
      </c>
      <c r="D34" s="16">
        <f>Assumptions!B31</f>
        <v>99</v>
      </c>
      <c r="E34" s="16">
        <f>Assumptions!B31</f>
        <v>99</v>
      </c>
      <c r="F34" s="16">
        <f>Assumptions!B31</f>
        <v>99</v>
      </c>
      <c r="G34" s="16">
        <f>Assumptions!B31</f>
        <v>99</v>
      </c>
      <c r="H34" s="16">
        <f>Assumptions!B31</f>
        <v>99</v>
      </c>
      <c r="I34" s="16">
        <f>Assumptions!B31</f>
        <v>99</v>
      </c>
      <c r="J34" s="16">
        <f>Assumptions!B31</f>
        <v>99</v>
      </c>
      <c r="K34" s="16">
        <f>Assumptions!B31</f>
        <v>99</v>
      </c>
      <c r="L34" s="16">
        <f>Assumptions!B31</f>
        <v>99</v>
      </c>
      <c r="M34" s="16">
        <f>Assumptions!B31</f>
        <v>99</v>
      </c>
      <c r="N34" s="16">
        <f>Assumptions!B31</f>
        <v>99</v>
      </c>
      <c r="O34" s="16">
        <f>Assumptions!B31</f>
        <v>99</v>
      </c>
      <c r="P34" s="16">
        <f>Assumptions!B31</f>
        <v>99</v>
      </c>
      <c r="Q34" s="16">
        <f>Assumptions!B31</f>
        <v>99</v>
      </c>
      <c r="R34" s="16">
        <f>Assumptions!B31</f>
        <v>99</v>
      </c>
      <c r="S34" s="16">
        <f>Assumptions!B31</f>
        <v>99</v>
      </c>
      <c r="T34" s="16">
        <f>Assumptions!B31</f>
        <v>99</v>
      </c>
      <c r="U34" s="16">
        <f>Assumptions!B31</f>
        <v>99</v>
      </c>
      <c r="V34" s="16">
        <f>Assumptions!B31</f>
        <v>99</v>
      </c>
      <c r="W34" s="16">
        <f>Assumptions!B31</f>
        <v>99</v>
      </c>
      <c r="X34" s="16">
        <f>Assumptions!B31</f>
        <v>99</v>
      </c>
      <c r="Y34" s="16">
        <f>Assumptions!B31</f>
        <v>99</v>
      </c>
      <c r="Z34" s="16">
        <f t="shared" si="7"/>
        <v>2376</v>
      </c>
    </row>
    <row r="35" ht="15.75" customHeight="1">
      <c r="A35" s="17" t="s">
        <v>40</v>
      </c>
      <c r="B35" s="18">
        <f>B33*Assumptions!B31</f>
        <v>0</v>
      </c>
      <c r="C35" s="18">
        <f>C33*Assumptions!B31</f>
        <v>0</v>
      </c>
      <c r="D35" s="18">
        <f>D33*Assumptions!B31</f>
        <v>0</v>
      </c>
      <c r="E35" s="18">
        <f>E33*Assumptions!B31</f>
        <v>0</v>
      </c>
      <c r="F35" s="18">
        <f>F33*Assumptions!B31</f>
        <v>0</v>
      </c>
      <c r="G35" s="18">
        <f>G33*Assumptions!B31</f>
        <v>198</v>
      </c>
      <c r="H35" s="18">
        <f>H33*Assumptions!B31</f>
        <v>495</v>
      </c>
      <c r="I35" s="18">
        <f>I33*Assumptions!B31</f>
        <v>792</v>
      </c>
      <c r="J35" s="18">
        <f>J33*Assumptions!B31</f>
        <v>990</v>
      </c>
      <c r="K35" s="18">
        <f>K33*Assumptions!B31</f>
        <v>1188</v>
      </c>
      <c r="L35" s="18">
        <f>L33*Assumptions!B31</f>
        <v>1485</v>
      </c>
      <c r="M35" s="18">
        <f>M33*Assumptions!B31</f>
        <v>1683</v>
      </c>
      <c r="N35" s="18">
        <f>N33*Assumptions!B31</f>
        <v>1782</v>
      </c>
      <c r="O35" s="18">
        <f>O33*Assumptions!B31</f>
        <v>1881</v>
      </c>
      <c r="P35" s="18">
        <f>P33*Assumptions!B31</f>
        <v>1980</v>
      </c>
      <c r="Q35" s="18">
        <f>Q33*Assumptions!B31</f>
        <v>1980</v>
      </c>
      <c r="R35" s="18">
        <f>R33*Assumptions!B31</f>
        <v>1980</v>
      </c>
      <c r="S35" s="18">
        <f>S33*Assumptions!B31</f>
        <v>1980</v>
      </c>
      <c r="T35" s="18">
        <f>T33*Assumptions!B31</f>
        <v>1980</v>
      </c>
      <c r="U35" s="18">
        <f>U33*Assumptions!B31</f>
        <v>1980</v>
      </c>
      <c r="V35" s="18">
        <f>V33*Assumptions!B31</f>
        <v>1980</v>
      </c>
      <c r="W35" s="18">
        <f>W33*Assumptions!B31</f>
        <v>1980</v>
      </c>
      <c r="X35" s="18">
        <f>X33*Assumptions!B31</f>
        <v>1980</v>
      </c>
      <c r="Y35" s="18">
        <f>Y33*Assumptions!B31</f>
        <v>1980</v>
      </c>
      <c r="Z35" s="18">
        <f t="shared" si="7"/>
        <v>30294</v>
      </c>
    </row>
    <row r="36" ht="15.75" customHeight="1">
      <c r="A36" s="17" t="s">
        <v>55</v>
      </c>
      <c r="B36" s="18">
        <v>0.0</v>
      </c>
      <c r="C36" s="18">
        <v>0.0</v>
      </c>
      <c r="D36" s="18">
        <v>0.0</v>
      </c>
      <c r="E36" s="18">
        <v>0.0</v>
      </c>
      <c r="F36" s="18">
        <v>0.0</v>
      </c>
      <c r="G36" s="18">
        <v>0.0</v>
      </c>
      <c r="H36" s="18">
        <v>45.0</v>
      </c>
      <c r="I36" s="18">
        <v>90.0</v>
      </c>
      <c r="J36" s="18">
        <v>135.0</v>
      </c>
      <c r="K36" s="18">
        <v>180.0</v>
      </c>
      <c r="L36" s="18">
        <v>225.0</v>
      </c>
      <c r="M36" s="18">
        <v>270.0</v>
      </c>
      <c r="N36" s="18">
        <v>315.0</v>
      </c>
      <c r="O36" s="18">
        <v>360.0</v>
      </c>
      <c r="P36" s="18">
        <v>405.0</v>
      </c>
      <c r="Q36" s="18">
        <v>450.0</v>
      </c>
      <c r="R36" s="18">
        <v>480.0</v>
      </c>
      <c r="S36" s="18">
        <v>510.0</v>
      </c>
      <c r="T36" s="18">
        <v>540.0</v>
      </c>
      <c r="U36" s="18">
        <v>570.0</v>
      </c>
      <c r="V36" s="18">
        <v>585.0</v>
      </c>
      <c r="W36" s="18">
        <v>600.0</v>
      </c>
      <c r="X36" s="18">
        <v>615.0</v>
      </c>
      <c r="Y36" s="18">
        <v>630.0</v>
      </c>
      <c r="Z36" s="18">
        <f t="shared" si="7"/>
        <v>7005</v>
      </c>
    </row>
    <row r="37" ht="15.75" customHeight="1">
      <c r="A37" s="19" t="s">
        <v>56</v>
      </c>
      <c r="B37" s="20">
        <v>0.0</v>
      </c>
      <c r="C37" s="20">
        <v>0.0</v>
      </c>
      <c r="D37" s="20">
        <v>0.0</v>
      </c>
      <c r="E37" s="20">
        <v>0.0</v>
      </c>
      <c r="F37" s="20">
        <v>0.0</v>
      </c>
      <c r="G37" s="20">
        <v>0.0</v>
      </c>
      <c r="H37" s="20">
        <v>0.0</v>
      </c>
      <c r="I37" s="20">
        <v>0.0</v>
      </c>
      <c r="J37" s="20">
        <v>0.0</v>
      </c>
      <c r="K37" s="20">
        <v>0.0</v>
      </c>
      <c r="L37" s="20">
        <v>0.0</v>
      </c>
      <c r="M37" s="20">
        <v>0.0</v>
      </c>
      <c r="N37" s="20">
        <v>0.0</v>
      </c>
      <c r="O37" s="20">
        <v>0.0</v>
      </c>
      <c r="P37" s="20">
        <v>0.0</v>
      </c>
      <c r="Q37" s="20">
        <v>0.0</v>
      </c>
      <c r="R37" s="20">
        <v>0.0</v>
      </c>
      <c r="S37" s="20">
        <v>0.0</v>
      </c>
      <c r="T37" s="20">
        <v>0.0</v>
      </c>
      <c r="U37" s="20">
        <v>0.0</v>
      </c>
      <c r="V37" s="20">
        <v>0.0</v>
      </c>
      <c r="W37" s="20">
        <v>0.0</v>
      </c>
      <c r="X37" s="20">
        <v>0.0</v>
      </c>
      <c r="Y37" s="20">
        <v>0.0</v>
      </c>
      <c r="Z37" s="20">
        <f t="shared" si="7"/>
        <v>0</v>
      </c>
    </row>
    <row r="38" ht="15.75" customHeight="1">
      <c r="A38" s="12" t="s">
        <v>57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21" t="s">
        <v>58</v>
      </c>
      <c r="B39" s="22">
        <f>ROUND('Growth Curves'!B18*((1-IF(1&lt;=6,Assumptions!B131,IF(1&lt;=11,0.25,Assumptions!B132)))*Assumptions!B5+IF(1&lt;=6,Assumptions!B131,IF(1&lt;=11,0.25,Assumptions!B132))*Assumptions!B128/12),0)</f>
        <v>0</v>
      </c>
      <c r="C39" s="22">
        <f>ROUND('Growth Curves'!C18*((1-IF(2&lt;=6,Assumptions!B131,IF(2&lt;=11,0.25,Assumptions!B132)))*Assumptions!B5+IF(2&lt;=6,Assumptions!B131,IF(2&lt;=11,0.25,Assumptions!B132))*Assumptions!B128/12),0)</f>
        <v>0</v>
      </c>
      <c r="D39" s="22">
        <f>ROUND('Growth Curves'!D18*((1-IF(3&lt;=6,Assumptions!B131,IF(3&lt;=11,0.25,Assumptions!B132)))*Assumptions!B5+IF(3&lt;=6,Assumptions!B131,IF(3&lt;=11,0.25,Assumptions!B132))*Assumptions!B128/12),0)</f>
        <v>0</v>
      </c>
      <c r="E39" s="22">
        <f>ROUND('Growth Curves'!E18*((1-IF(4&lt;=6,Assumptions!B131,IF(4&lt;=11,0.25,Assumptions!B132)))*Assumptions!B5+IF(4&lt;=6,Assumptions!B131,IF(4&lt;=11,0.25,Assumptions!B132))*Assumptions!B128/12),0)</f>
        <v>147</v>
      </c>
      <c r="F39" s="22">
        <f>ROUND('Growth Curves'!F18*((1-IF(5&lt;=6,Assumptions!B131,IF(5&lt;=11,0.25,Assumptions!B132)))*Assumptions!B5+IF(5&lt;=6,Assumptions!B131,IF(5&lt;=11,0.25,Assumptions!B132))*Assumptions!B128/12),0)</f>
        <v>276</v>
      </c>
      <c r="G39" s="22">
        <f>ROUND('Growth Curves'!G18*((1-IF(6&lt;=6,Assumptions!B131,IF(6&lt;=11,0.25,Assumptions!B132)))*Assumptions!B5+IF(6&lt;=6,Assumptions!B131,IF(6&lt;=11,0.25,Assumptions!B132))*Assumptions!B128/12),0)</f>
        <v>404</v>
      </c>
      <c r="H39" s="22">
        <f>ROUND('Growth Curves'!H18*((1-IF(7&lt;=6,Assumptions!B131,IF(7&lt;=11,0.25,Assumptions!B132)))*Assumptions!B5+IF(7&lt;=6,Assumptions!B131,IF(7&lt;=11,0.25,Assumptions!B132))*Assumptions!B128/12),0)</f>
        <v>583</v>
      </c>
      <c r="I39" s="22">
        <f>ROUND('Growth Curves'!I18*((1-IF(8&lt;=6,Assumptions!B131,IF(8&lt;=11,0.25,Assumptions!B132)))*Assumptions!B5+IF(8&lt;=6,Assumptions!B131,IF(8&lt;=11,0.25,Assumptions!B132))*Assumptions!B128/12),0)</f>
        <v>747</v>
      </c>
      <c r="J39" s="22">
        <f>ROUND('Growth Curves'!J18*((1-IF(9&lt;=6,Assumptions!B131,IF(9&lt;=11,0.25,Assumptions!B132)))*Assumptions!B5+IF(9&lt;=6,Assumptions!B131,IF(9&lt;=11,0.25,Assumptions!B132))*Assumptions!B128/12),0)</f>
        <v>892</v>
      </c>
      <c r="K39" s="22">
        <f>ROUND('Growth Curves'!K18*((1-IF(10&lt;=6,Assumptions!B131,IF(10&lt;=11,0.25,Assumptions!B132)))*Assumptions!B5+IF(10&lt;=6,Assumptions!B131,IF(10&lt;=11,0.25,Assumptions!B132))*Assumptions!B128/12),0)</f>
        <v>1074</v>
      </c>
      <c r="L39" s="22">
        <f>ROUND('Growth Curves'!L18*((1-IF(11&lt;=6,Assumptions!B131,IF(11&lt;=11,0.25,Assumptions!B132)))*Assumptions!B5+IF(11&lt;=6,Assumptions!B131,IF(11&lt;=11,0.25,Assumptions!B132))*Assumptions!B128/12),0)</f>
        <v>1256</v>
      </c>
      <c r="M39" s="22">
        <f>ROUND('Growth Curves'!M18*((1-IF(12&lt;=6,Assumptions!B131,IF(12&lt;=11,0.25,Assumptions!B132)))*Assumptions!B5+IF(12&lt;=6,Assumptions!B131,IF(12&lt;=11,0.25,Assumptions!B132))*Assumptions!B128/12),0)</f>
        <v>1408</v>
      </c>
      <c r="N39" s="22">
        <f>ROUND('Growth Curves'!N18*((1-IF(13&lt;=6,Assumptions!B131,IF(13&lt;=11,0.25,Assumptions!B132)))*Assumptions!B5+IF(13&lt;=6,Assumptions!B131,IF(13&lt;=11,0.25,Assumptions!B132))*Assumptions!B128/12),0)</f>
        <v>1588</v>
      </c>
      <c r="O39" s="22">
        <f>ROUND('Growth Curves'!O18*((1-IF(14&lt;=6,Assumptions!B131,IF(14&lt;=11,0.25,Assumptions!B132)))*Assumptions!B5+IF(14&lt;=6,Assumptions!B131,IF(14&lt;=11,0.25,Assumptions!B132))*Assumptions!B128/12),0)</f>
        <v>1769</v>
      </c>
      <c r="P39" s="22">
        <f>ROUND('Growth Curves'!P18*((1-IF(15&lt;=6,Assumptions!B131,IF(15&lt;=11,0.25,Assumptions!B132)))*Assumptions!B5+IF(15&lt;=6,Assumptions!B131,IF(15&lt;=11,0.25,Assumptions!B132))*Assumptions!B128/12),0)</f>
        <v>1931</v>
      </c>
      <c r="Q39" s="22">
        <f>ROUND('Growth Curves'!Q18*((1-IF(16&lt;=6,Assumptions!B131,IF(16&lt;=11,0.25,Assumptions!B132)))*Assumptions!B5+IF(16&lt;=6,Assumptions!B131,IF(16&lt;=11,0.25,Assumptions!B132))*Assumptions!B128/12),0)</f>
        <v>2076</v>
      </c>
      <c r="R39" s="22">
        <f>ROUND('Growth Curves'!R18*((1-IF(17&lt;=6,Assumptions!B131,IF(17&lt;=11,0.25,Assumptions!B132)))*Assumptions!B5+IF(17&lt;=6,Assumptions!B131,IF(17&lt;=11,0.25,Assumptions!B132))*Assumptions!B128/12),0)</f>
        <v>2202</v>
      </c>
      <c r="S39" s="22">
        <f>ROUND('Growth Curves'!S18*((1-IF(18&lt;=6,Assumptions!B131,IF(18&lt;=11,0.25,Assumptions!B132)))*Assumptions!B5+IF(18&lt;=6,Assumptions!B131,IF(18&lt;=11,0.25,Assumptions!B132))*Assumptions!B128/12),0)</f>
        <v>2328</v>
      </c>
      <c r="T39" s="22">
        <f>ROUND('Growth Curves'!T18*((1-IF(19&lt;=6,Assumptions!B131,IF(19&lt;=11,0.25,Assumptions!B132)))*Assumptions!B5+IF(19&lt;=6,Assumptions!B131,IF(19&lt;=11,0.25,Assumptions!B132))*Assumptions!B128/12),0)</f>
        <v>2491</v>
      </c>
      <c r="U39" s="22">
        <f>ROUND('Growth Curves'!U18*((1-IF(20&lt;=6,Assumptions!B131,IF(20&lt;=11,0.25,Assumptions!B132)))*Assumptions!B5+IF(20&lt;=6,Assumptions!B131,IF(20&lt;=11,0.25,Assumptions!B132))*Assumptions!B128/12),0)</f>
        <v>2653</v>
      </c>
      <c r="V39" s="22">
        <f>ROUND('Growth Curves'!V18*((1-IF(21&lt;=6,Assumptions!B131,IF(21&lt;=11,0.25,Assumptions!B132)))*Assumptions!B5+IF(21&lt;=6,Assumptions!B131,IF(21&lt;=11,0.25,Assumptions!B132))*Assumptions!B128/12),0)</f>
        <v>2798</v>
      </c>
      <c r="W39" s="22">
        <f>ROUND('Growth Curves'!W18*((1-IF(22&lt;=6,Assumptions!B131,IF(22&lt;=11,0.25,Assumptions!B132)))*Assumptions!B5+IF(22&lt;=6,Assumptions!B131,IF(22&lt;=11,0.25,Assumptions!B132))*Assumptions!B128/12),0)</f>
        <v>2924</v>
      </c>
      <c r="X39" s="22">
        <f>ROUND('Growth Curves'!X18*((1-IF(23&lt;=6,Assumptions!B131,IF(23&lt;=11,0.25,Assumptions!B132)))*Assumptions!B5+IF(23&lt;=6,Assumptions!B131,IF(23&lt;=11,0.25,Assumptions!B132))*Assumptions!B128/12),0)</f>
        <v>3050</v>
      </c>
      <c r="Y39" s="22">
        <f>ROUND('Growth Curves'!Y18*((1-IF(24&lt;=6,Assumptions!B131,IF(24&lt;=11,0.25,Assumptions!B132)))*Assumptions!B5+IF(24&lt;=6,Assumptions!B131,IF(24&lt;=11,0.25,Assumptions!B132))*Assumptions!B128/12),0)</f>
        <v>3159</v>
      </c>
      <c r="Z39" s="22">
        <f t="shared" ref="Z39:Z45" si="8">SUM(B39:Y39)</f>
        <v>35756</v>
      </c>
    </row>
    <row r="40" ht="15.75" customHeight="1">
      <c r="A40" s="21" t="s">
        <v>59</v>
      </c>
      <c r="B40" s="22">
        <f>ROUND('Growth Curves'!B19*((1-IF(1&lt;=6,Assumptions!B131,IF(1&lt;=11,0.25,Assumptions!B132)))*Assumptions!B6+IF(1&lt;=6,Assumptions!B131,IF(1&lt;=11,0.25,Assumptions!B132))*Assumptions!B129/12),0)</f>
        <v>0</v>
      </c>
      <c r="C40" s="22">
        <f>ROUND('Growth Curves'!C19*((1-IF(2&lt;=6,Assumptions!B131,IF(2&lt;=11,0.25,Assumptions!B132)))*Assumptions!B6+IF(2&lt;=6,Assumptions!B131,IF(2&lt;=11,0.25,Assumptions!B132))*Assumptions!B129/12),0)</f>
        <v>0</v>
      </c>
      <c r="D40" s="22">
        <f>ROUND('Growth Curves'!D19*((1-IF(3&lt;=6,Assumptions!B131,IF(3&lt;=11,0.25,Assumptions!B132)))*Assumptions!B6+IF(3&lt;=6,Assumptions!B131,IF(3&lt;=11,0.25,Assumptions!B132))*Assumptions!B129/12),0)</f>
        <v>0</v>
      </c>
      <c r="E40" s="22">
        <f>ROUND('Growth Curves'!E19*((1-IF(4&lt;=6,Assumptions!B131,IF(4&lt;=11,0.25,Assumptions!B132)))*Assumptions!B6+IF(4&lt;=6,Assumptions!B131,IF(4&lt;=11,0.25,Assumptions!B132))*Assumptions!B129/12),0)</f>
        <v>284</v>
      </c>
      <c r="F40" s="22">
        <f>ROUND('Growth Curves'!F19*((1-IF(5&lt;=6,Assumptions!B131,IF(5&lt;=11,0.25,Assumptions!B132)))*Assumptions!B6+IF(5&lt;=6,Assumptions!B131,IF(5&lt;=11,0.25,Assumptions!B132))*Assumptions!B129/12),0)</f>
        <v>521</v>
      </c>
      <c r="G40" s="22">
        <f>ROUND('Growth Curves'!G19*((1-IF(6&lt;=6,Assumptions!B131,IF(6&lt;=11,0.25,Assumptions!B132)))*Assumptions!B6+IF(6&lt;=6,Assumptions!B131,IF(6&lt;=11,0.25,Assumptions!B132))*Assumptions!B129/12),0)</f>
        <v>758</v>
      </c>
      <c r="H40" s="22">
        <f>ROUND('Growth Curves'!H19*((1-IF(7&lt;=6,Assumptions!B131,IF(7&lt;=11,0.25,Assumptions!B132)))*Assumptions!B6+IF(7&lt;=6,Assumptions!B131,IF(7&lt;=11,0.25,Assumptions!B132))*Assumptions!B129/12),0)</f>
        <v>1080</v>
      </c>
      <c r="I40" s="22">
        <f>ROUND('Growth Curves'!I19*((1-IF(8&lt;=6,Assumptions!B131,IF(8&lt;=11,0.25,Assumptions!B132)))*Assumptions!B6+IF(8&lt;=6,Assumptions!B131,IF(8&lt;=11,0.25,Assumptions!B132))*Assumptions!B129/12),0)</f>
        <v>1409</v>
      </c>
      <c r="J40" s="22">
        <f>ROUND('Growth Curves'!J19*((1-IF(9&lt;=6,Assumptions!B131,IF(9&lt;=11,0.25,Assumptions!B132)))*Assumptions!B6+IF(9&lt;=6,Assumptions!B131,IF(9&lt;=11,0.25,Assumptions!B132))*Assumptions!B129/12),0)</f>
        <v>1691</v>
      </c>
      <c r="K40" s="22">
        <f>ROUND('Growth Curves'!K19*((1-IF(10&lt;=6,Assumptions!B131,IF(10&lt;=11,0.25,Assumptions!B132)))*Assumptions!B6+IF(10&lt;=6,Assumptions!B131,IF(10&lt;=11,0.25,Assumptions!B132))*Assumptions!B129/12),0)</f>
        <v>2019</v>
      </c>
      <c r="L40" s="22">
        <f>ROUND('Growth Curves'!L19*((1-IF(11&lt;=6,Assumptions!B131,IF(11&lt;=11,0.25,Assumptions!B132)))*Assumptions!B6+IF(11&lt;=6,Assumptions!B131,IF(11&lt;=11,0.25,Assumptions!B132))*Assumptions!B129/12),0)</f>
        <v>2395</v>
      </c>
      <c r="M40" s="22">
        <f>ROUND('Growth Curves'!M19*((1-IF(12&lt;=6,Assumptions!B131,IF(12&lt;=11,0.25,Assumptions!B132)))*Assumptions!B6+IF(12&lt;=6,Assumptions!B131,IF(12&lt;=11,0.25,Assumptions!B132))*Assumptions!B129/12),0)</f>
        <v>2653</v>
      </c>
      <c r="N40" s="22">
        <f>ROUND('Growth Curves'!N19*((1-IF(13&lt;=6,Assumptions!B131,IF(13&lt;=11,0.25,Assumptions!B132)))*Assumptions!B6+IF(13&lt;=6,Assumptions!B131,IF(13&lt;=11,0.25,Assumptions!B132))*Assumptions!B129/12),0)</f>
        <v>3026</v>
      </c>
      <c r="O40" s="22">
        <f>ROUND('Growth Curves'!O19*((1-IF(14&lt;=6,Assumptions!B131,IF(14&lt;=11,0.25,Assumptions!B132)))*Assumptions!B6+IF(14&lt;=6,Assumptions!B131,IF(14&lt;=11,0.25,Assumptions!B132))*Assumptions!B129/12),0)</f>
        <v>3305</v>
      </c>
      <c r="P40" s="22">
        <f>ROUND('Growth Curves'!P19*((1-IF(15&lt;=6,Assumptions!B131,IF(15&lt;=11,0.25,Assumptions!B132)))*Assumptions!B6+IF(15&lt;=6,Assumptions!B131,IF(15&lt;=11,0.25,Assumptions!B132))*Assumptions!B129/12),0)</f>
        <v>3631</v>
      </c>
      <c r="Q40" s="22">
        <f>ROUND('Growth Curves'!Q19*((1-IF(16&lt;=6,Assumptions!B131,IF(16&lt;=11,0.25,Assumptions!B132)))*Assumptions!B6+IF(16&lt;=6,Assumptions!B131,IF(16&lt;=11,0.25,Assumptions!B132))*Assumptions!B129/12),0)</f>
        <v>3910</v>
      </c>
      <c r="R40" s="22">
        <f>ROUND('Growth Curves'!R19*((1-IF(17&lt;=6,Assumptions!B131,IF(17&lt;=11,0.25,Assumptions!B132)))*Assumptions!B6+IF(17&lt;=6,Assumptions!B131,IF(17&lt;=11,0.25,Assumptions!B132))*Assumptions!B129/12),0)</f>
        <v>4143</v>
      </c>
      <c r="S40" s="22">
        <f>ROUND('Growth Curves'!S19*((1-IF(18&lt;=6,Assumptions!B131,IF(18&lt;=11,0.25,Assumptions!B132)))*Assumptions!B6+IF(18&lt;=6,Assumptions!B131,IF(18&lt;=11,0.25,Assumptions!B132))*Assumptions!B129/12),0)</f>
        <v>4376</v>
      </c>
      <c r="T40" s="22">
        <f>ROUND('Growth Curves'!T19*((1-IF(19&lt;=6,Assumptions!B131,IF(19&lt;=11,0.25,Assumptions!B132)))*Assumptions!B6+IF(19&lt;=6,Assumptions!B131,IF(19&lt;=11,0.25,Assumptions!B132))*Assumptions!B129/12),0)</f>
        <v>4702</v>
      </c>
      <c r="U40" s="22">
        <f>ROUND('Growth Curves'!U19*((1-IF(20&lt;=6,Assumptions!B131,IF(20&lt;=11,0.25,Assumptions!B132)))*Assumptions!B6+IF(20&lt;=6,Assumptions!B131,IF(20&lt;=11,0.25,Assumptions!B132))*Assumptions!B129/12),0)</f>
        <v>5027</v>
      </c>
      <c r="V40" s="22">
        <f>ROUND('Growth Curves'!V19*((1-IF(21&lt;=6,Assumptions!B131,IF(21&lt;=11,0.25,Assumptions!B132)))*Assumptions!B6+IF(21&lt;=6,Assumptions!B131,IF(21&lt;=11,0.25,Assumptions!B132))*Assumptions!B129/12),0)</f>
        <v>5260</v>
      </c>
      <c r="W40" s="22">
        <f>ROUND('Growth Curves'!W19*((1-IF(22&lt;=6,Assumptions!B131,IF(22&lt;=11,0.25,Assumptions!B132)))*Assumptions!B6+IF(22&lt;=6,Assumptions!B131,IF(22&lt;=11,0.25,Assumptions!B132))*Assumptions!B129/12),0)</f>
        <v>5539</v>
      </c>
      <c r="X40" s="22">
        <f>ROUND('Growth Curves'!X19*((1-IF(23&lt;=6,Assumptions!B131,IF(23&lt;=11,0.25,Assumptions!B132)))*Assumptions!B6+IF(23&lt;=6,Assumptions!B131,IF(23&lt;=11,0.25,Assumptions!B132))*Assumptions!B129/12),0)</f>
        <v>5772</v>
      </c>
      <c r="Y40" s="22">
        <f>ROUND('Growth Curves'!Y19*((1-IF(24&lt;=6,Assumptions!B131,IF(24&lt;=11,0.25,Assumptions!B132)))*Assumptions!B6+IF(24&lt;=6,Assumptions!B131,IF(24&lt;=11,0.25,Assumptions!B132))*Assumptions!B129/12),0)</f>
        <v>5958</v>
      </c>
      <c r="Z40" s="22">
        <f t="shared" si="8"/>
        <v>67459</v>
      </c>
    </row>
    <row r="41" ht="15.75" customHeight="1">
      <c r="A41" s="21" t="s">
        <v>60</v>
      </c>
      <c r="B41" s="22">
        <f>ROUND('Growth Curves'!B20*((1-IF(1&lt;=6,Assumptions!B131,IF(1&lt;=11,0.25,Assumptions!B132)))*Assumptions!B7+IF(1&lt;=6,Assumptions!B131,IF(1&lt;=11,0.25,Assumptions!B132))*Assumptions!B130/12),0)</f>
        <v>0</v>
      </c>
      <c r="C41" s="22">
        <f>ROUND('Growth Curves'!C20*((1-IF(2&lt;=6,Assumptions!B131,IF(2&lt;=11,0.25,Assumptions!B132)))*Assumptions!B7+IF(2&lt;=6,Assumptions!B131,IF(2&lt;=11,0.25,Assumptions!B132))*Assumptions!B130/12),0)</f>
        <v>0</v>
      </c>
      <c r="D41" s="22">
        <f>ROUND('Growth Curves'!D20*((1-IF(3&lt;=6,Assumptions!B131,IF(3&lt;=11,0.25,Assumptions!B132)))*Assumptions!B7+IF(3&lt;=6,Assumptions!B131,IF(3&lt;=11,0.25,Assumptions!B132))*Assumptions!B130/12),0)</f>
        <v>0</v>
      </c>
      <c r="E41" s="22">
        <f>ROUND('Growth Curves'!E20*((1-IF(4&lt;=6,Assumptions!B131,IF(4&lt;=11,0.25,Assumptions!B132)))*Assumptions!B7+IF(4&lt;=6,Assumptions!B131,IF(4&lt;=11,0.25,Assumptions!B132))*Assumptions!B130/12),0)</f>
        <v>96</v>
      </c>
      <c r="F41" s="22">
        <f>ROUND('Growth Curves'!F20*((1-IF(5&lt;=6,Assumptions!B131,IF(5&lt;=11,0.25,Assumptions!B132)))*Assumptions!B7+IF(5&lt;=6,Assumptions!B131,IF(5&lt;=11,0.25,Assumptions!B132))*Assumptions!B130/12),0)</f>
        <v>287</v>
      </c>
      <c r="G41" s="22">
        <f>ROUND('Growth Curves'!G20*((1-IF(6&lt;=6,Assumptions!B131,IF(6&lt;=11,0.25,Assumptions!B132)))*Assumptions!B7+IF(6&lt;=6,Assumptions!B131,IF(6&lt;=11,0.25,Assumptions!B132))*Assumptions!B130/12),0)</f>
        <v>383</v>
      </c>
      <c r="H41" s="22">
        <f>ROUND('Growth Curves'!H20*((1-IF(7&lt;=6,Assumptions!B131,IF(7&lt;=11,0.25,Assumptions!B132)))*Assumptions!B7+IF(7&lt;=6,Assumptions!B131,IF(7&lt;=11,0.25,Assumptions!B132))*Assumptions!B130/12),0)</f>
        <v>569</v>
      </c>
      <c r="I41" s="22">
        <f>ROUND('Growth Curves'!I20*((1-IF(8&lt;=6,Assumptions!B131,IF(8&lt;=11,0.25,Assumptions!B132)))*Assumptions!B7+IF(8&lt;=6,Assumptions!B131,IF(8&lt;=11,0.25,Assumptions!B132))*Assumptions!B130/12),0)</f>
        <v>664</v>
      </c>
      <c r="J41" s="22">
        <f>ROUND('Growth Curves'!J20*((1-IF(9&lt;=6,Assumptions!B131,IF(9&lt;=11,0.25,Assumptions!B132)))*Assumptions!B7+IF(9&lt;=6,Assumptions!B131,IF(9&lt;=11,0.25,Assumptions!B132))*Assumptions!B130/12),0)</f>
        <v>854</v>
      </c>
      <c r="K41" s="22">
        <f>ROUND('Growth Curves'!K20*((1-IF(10&lt;=6,Assumptions!B131,IF(10&lt;=11,0.25,Assumptions!B132)))*Assumptions!B7+IF(10&lt;=6,Assumptions!B131,IF(10&lt;=11,0.25,Assumptions!B132))*Assumptions!B130/12),0)</f>
        <v>1139</v>
      </c>
      <c r="L41" s="22">
        <f>ROUND('Growth Curves'!L20*((1-IF(11&lt;=6,Assumptions!B131,IF(11&lt;=11,0.25,Assumptions!B132)))*Assumptions!B7+IF(11&lt;=6,Assumptions!B131,IF(11&lt;=11,0.25,Assumptions!B132))*Assumptions!B130/12),0)</f>
        <v>1233</v>
      </c>
      <c r="M41" s="22">
        <f>ROUND('Growth Curves'!M20*((1-IF(12&lt;=6,Assumptions!B131,IF(12&lt;=11,0.25,Assumptions!B132)))*Assumptions!B7+IF(12&lt;=6,Assumptions!B131,IF(12&lt;=11,0.25,Assumptions!B132))*Assumptions!B130/12),0)</f>
        <v>1411</v>
      </c>
      <c r="N41" s="22">
        <f>ROUND('Growth Curves'!N20*((1-IF(13&lt;=6,Assumptions!B131,IF(13&lt;=11,0.25,Assumptions!B132)))*Assumptions!B7+IF(13&lt;=6,Assumptions!B131,IF(13&lt;=11,0.25,Assumptions!B132))*Assumptions!B130/12),0)</f>
        <v>1599</v>
      </c>
      <c r="O41" s="22">
        <f>ROUND('Growth Curves'!O20*((1-IF(14&lt;=6,Assumptions!B131,IF(14&lt;=11,0.25,Assumptions!B132)))*Assumptions!B7+IF(14&lt;=6,Assumptions!B131,IF(14&lt;=11,0.25,Assumptions!B132))*Assumptions!B130/12),0)</f>
        <v>1787</v>
      </c>
      <c r="P41" s="22">
        <f>ROUND('Growth Curves'!P20*((1-IF(15&lt;=6,Assumptions!B131,IF(15&lt;=11,0.25,Assumptions!B132)))*Assumptions!B7+IF(15&lt;=6,Assumptions!B131,IF(15&lt;=11,0.25,Assumptions!B132))*Assumptions!B130/12),0)</f>
        <v>1881</v>
      </c>
      <c r="Q41" s="22">
        <f>ROUND('Growth Curves'!Q20*((1-IF(16&lt;=6,Assumptions!B131,IF(16&lt;=11,0.25,Assumptions!B132)))*Assumptions!B7+IF(16&lt;=6,Assumptions!B131,IF(16&lt;=11,0.25,Assumptions!B132))*Assumptions!B130/12),0)</f>
        <v>2069</v>
      </c>
      <c r="R41" s="22">
        <f>ROUND('Growth Curves'!R20*((1-IF(17&lt;=6,Assumptions!B131,IF(17&lt;=11,0.25,Assumptions!B132)))*Assumptions!B7+IF(17&lt;=6,Assumptions!B131,IF(17&lt;=11,0.25,Assumptions!B132))*Assumptions!B130/12),0)</f>
        <v>2257</v>
      </c>
      <c r="S41" s="22">
        <f>ROUND('Growth Curves'!S20*((1-IF(18&lt;=6,Assumptions!B131,IF(18&lt;=11,0.25,Assumptions!B132)))*Assumptions!B7+IF(18&lt;=6,Assumptions!B131,IF(18&lt;=11,0.25,Assumptions!B132))*Assumptions!B130/12),0)</f>
        <v>2351</v>
      </c>
      <c r="T41" s="22">
        <f>ROUND('Growth Curves'!T20*((1-IF(19&lt;=6,Assumptions!B131,IF(19&lt;=11,0.25,Assumptions!B132)))*Assumptions!B7+IF(19&lt;=6,Assumptions!B131,IF(19&lt;=11,0.25,Assumptions!B132))*Assumptions!B130/12),0)</f>
        <v>2539</v>
      </c>
      <c r="U41" s="22">
        <f>ROUND('Growth Curves'!U20*((1-IF(20&lt;=6,Assumptions!B131,IF(20&lt;=11,0.25,Assumptions!B132)))*Assumptions!B7+IF(20&lt;=6,Assumptions!B131,IF(20&lt;=11,0.25,Assumptions!B132))*Assumptions!B130/12),0)</f>
        <v>2633</v>
      </c>
      <c r="V41" s="22">
        <f>ROUND('Growth Curves'!V20*((1-IF(21&lt;=6,Assumptions!B131,IF(21&lt;=11,0.25,Assumptions!B132)))*Assumptions!B7+IF(21&lt;=6,Assumptions!B131,IF(21&lt;=11,0.25,Assumptions!B132))*Assumptions!B130/12),0)</f>
        <v>2822</v>
      </c>
      <c r="W41" s="22">
        <f>ROUND('Growth Curves'!W20*((1-IF(22&lt;=6,Assumptions!B131,IF(22&lt;=11,0.25,Assumptions!B132)))*Assumptions!B7+IF(22&lt;=6,Assumptions!B131,IF(22&lt;=11,0.25,Assumptions!B132))*Assumptions!B130/12),0)</f>
        <v>2916</v>
      </c>
      <c r="X41" s="22">
        <f>ROUND('Growth Curves'!X20*((1-IF(23&lt;=6,Assumptions!B131,IF(23&lt;=11,0.25,Assumptions!B132)))*Assumptions!B7+IF(23&lt;=6,Assumptions!B131,IF(23&lt;=11,0.25,Assumptions!B132))*Assumptions!B130/12),0)</f>
        <v>3010</v>
      </c>
      <c r="Y41" s="22">
        <f>ROUND('Growth Curves'!Y20*((1-IF(24&lt;=6,Assumptions!B131,IF(24&lt;=11,0.25,Assumptions!B132)))*Assumptions!B7+IF(24&lt;=6,Assumptions!B131,IF(24&lt;=11,0.25,Assumptions!B132))*Assumptions!B130/12),0)</f>
        <v>3198</v>
      </c>
      <c r="Z41" s="22">
        <f t="shared" si="8"/>
        <v>35698</v>
      </c>
    </row>
    <row r="42" ht="15.75" customHeight="1">
      <c r="A42" s="9" t="s">
        <v>61</v>
      </c>
      <c r="B42" s="10">
        <f t="shared" ref="B42:Y42" si="9">B39+B40+B41</f>
        <v>0</v>
      </c>
      <c r="C42" s="10">
        <f t="shared" si="9"/>
        <v>0</v>
      </c>
      <c r="D42" s="10">
        <f t="shared" si="9"/>
        <v>0</v>
      </c>
      <c r="E42" s="10">
        <f t="shared" si="9"/>
        <v>527</v>
      </c>
      <c r="F42" s="10">
        <f t="shared" si="9"/>
        <v>1084</v>
      </c>
      <c r="G42" s="10">
        <f t="shared" si="9"/>
        <v>1545</v>
      </c>
      <c r="H42" s="10">
        <f t="shared" si="9"/>
        <v>2232</v>
      </c>
      <c r="I42" s="10">
        <f t="shared" si="9"/>
        <v>2820</v>
      </c>
      <c r="J42" s="10">
        <f t="shared" si="9"/>
        <v>3437</v>
      </c>
      <c r="K42" s="10">
        <f t="shared" si="9"/>
        <v>4232</v>
      </c>
      <c r="L42" s="10">
        <f t="shared" si="9"/>
        <v>4884</v>
      </c>
      <c r="M42" s="10">
        <f t="shared" si="9"/>
        <v>5472</v>
      </c>
      <c r="N42" s="10">
        <f t="shared" si="9"/>
        <v>6213</v>
      </c>
      <c r="O42" s="10">
        <f t="shared" si="9"/>
        <v>6861</v>
      </c>
      <c r="P42" s="10">
        <f t="shared" si="9"/>
        <v>7443</v>
      </c>
      <c r="Q42" s="10">
        <f t="shared" si="9"/>
        <v>8055</v>
      </c>
      <c r="R42" s="10">
        <f t="shared" si="9"/>
        <v>8602</v>
      </c>
      <c r="S42" s="10">
        <f t="shared" si="9"/>
        <v>9055</v>
      </c>
      <c r="T42" s="10">
        <f t="shared" si="9"/>
        <v>9732</v>
      </c>
      <c r="U42" s="10">
        <f t="shared" si="9"/>
        <v>10313</v>
      </c>
      <c r="V42" s="10">
        <f t="shared" si="9"/>
        <v>10880</v>
      </c>
      <c r="W42" s="10">
        <f t="shared" si="9"/>
        <v>11379</v>
      </c>
      <c r="X42" s="10">
        <f t="shared" si="9"/>
        <v>11832</v>
      </c>
      <c r="Y42" s="10">
        <f t="shared" si="9"/>
        <v>12315</v>
      </c>
      <c r="Z42" s="10">
        <f t="shared" si="8"/>
        <v>138913</v>
      </c>
    </row>
    <row r="43" ht="15.75" customHeight="1">
      <c r="A43" s="19" t="s">
        <v>62</v>
      </c>
      <c r="B43" s="20">
        <f>ROUND('Growth Curves'!B15*IF(1&lt;=6,Assumptions!B131,IF(1&lt;=11,0.25,Assumptions!B132))*(Assumptions!B9*Assumptions!B128+Assumptions!B10*Assumptions!B129+Assumptions!B11*Assumptions!B130),0)</f>
        <v>0</v>
      </c>
      <c r="C43" s="20">
        <f>ROUND('Growth Curves'!C15*IF(2&lt;=6,Assumptions!B131,IF(2&lt;=11,0.25,Assumptions!B132))*(Assumptions!B9*Assumptions!B128+Assumptions!B10*Assumptions!B129+Assumptions!B11*Assumptions!B130),0)</f>
        <v>0</v>
      </c>
      <c r="D43" s="20">
        <f>ROUND('Growth Curves'!D15*IF(3&lt;=6,Assumptions!B131,IF(3&lt;=11,0.25,Assumptions!B132))*(Assumptions!B9*Assumptions!B128+Assumptions!B10*Assumptions!B129+Assumptions!B11*Assumptions!B130),0)</f>
        <v>0</v>
      </c>
      <c r="E43" s="20">
        <f>ROUND('Growth Curves'!E15*IF(4&lt;=6,Assumptions!B131,IF(4&lt;=11,0.25,Assumptions!B132))*(Assumptions!B9*Assumptions!B128+Assumptions!B10*Assumptions!B129+Assumptions!B11*Assumptions!B130),0)</f>
        <v>1152</v>
      </c>
      <c r="F43" s="20">
        <f>ROUND('Growth Curves'!F15*IF(5&lt;=6,Assumptions!B131,IF(5&lt;=11,0.25,Assumptions!B132))*(Assumptions!B9*Assumptions!B128+Assumptions!B10*Assumptions!B129+Assumptions!B11*Assumptions!B130),0)</f>
        <v>1152</v>
      </c>
      <c r="G43" s="20">
        <f>ROUND('Growth Curves'!G15*IF(6&lt;=6,Assumptions!B131,IF(6&lt;=11,0.25,Assumptions!B132))*(Assumptions!B9*Assumptions!B128+Assumptions!B10*Assumptions!B129+Assumptions!B11*Assumptions!B130),0)</f>
        <v>1152</v>
      </c>
      <c r="H43" s="20">
        <f>ROUND('Growth Curves'!H15*IF(7&lt;=6,Assumptions!B131,IF(7&lt;=11,0.25,Assumptions!B132))*(Assumptions!B9*Assumptions!B128+Assumptions!B10*Assumptions!B129+Assumptions!B11*Assumptions!B130),0)</f>
        <v>2112</v>
      </c>
      <c r="I43" s="20">
        <f>ROUND('Growth Curves'!I15*IF(8&lt;=6,Assumptions!B131,IF(8&lt;=11,0.25,Assumptions!B132))*(Assumptions!B9*Assumptions!B128+Assumptions!B10*Assumptions!B129+Assumptions!B11*Assumptions!B130),0)</f>
        <v>2112</v>
      </c>
      <c r="J43" s="20">
        <f>ROUND('Growth Curves'!J15*IF(9&lt;=6,Assumptions!B131,IF(9&lt;=11,0.25,Assumptions!B132))*(Assumptions!B9*Assumptions!B128+Assumptions!B10*Assumptions!B129+Assumptions!B11*Assumptions!B130),0)</f>
        <v>2112</v>
      </c>
      <c r="K43" s="20">
        <f>ROUND('Growth Curves'!K15*IF(10&lt;=6,Assumptions!B131,IF(10&lt;=11,0.25,Assumptions!B132))*(Assumptions!B9*Assumptions!B128+Assumptions!B10*Assumptions!B129+Assumptions!B11*Assumptions!B130),0)</f>
        <v>2688</v>
      </c>
      <c r="L43" s="20">
        <f>ROUND('Growth Curves'!L15*IF(11&lt;=6,Assumptions!B131,IF(11&lt;=11,0.25,Assumptions!B132))*(Assumptions!B9*Assumptions!B128+Assumptions!B10*Assumptions!B129+Assumptions!B11*Assumptions!B130),0)</f>
        <v>2688</v>
      </c>
      <c r="M43" s="20">
        <f>ROUND('Growth Curves'!M15*IF(12&lt;=6,Assumptions!B131,IF(12&lt;=11,0.25,Assumptions!B132))*(Assumptions!B9*Assumptions!B128+Assumptions!B10*Assumptions!B129+Assumptions!B11*Assumptions!B130),0)</f>
        <v>3226</v>
      </c>
      <c r="N43" s="20">
        <f>ROUND('Growth Curves'!N15*IF(13&lt;=6,Assumptions!B131,IF(13&lt;=11,0.25,Assumptions!B132))*(Assumptions!B9*Assumptions!B128+Assumptions!B10*Assumptions!B129+Assumptions!B11*Assumptions!B130),0)</f>
        <v>3686</v>
      </c>
      <c r="O43" s="20">
        <f>ROUND('Growth Curves'!O15*IF(14&lt;=6,Assumptions!B131,IF(14&lt;=11,0.25,Assumptions!B132))*(Assumptions!B9*Assumptions!B128+Assumptions!B10*Assumptions!B129+Assumptions!B11*Assumptions!B130),0)</f>
        <v>3686</v>
      </c>
      <c r="P43" s="20">
        <f>ROUND('Growth Curves'!P15*IF(15&lt;=6,Assumptions!B131,IF(15&lt;=11,0.25,Assumptions!B132))*(Assumptions!B9*Assumptions!B128+Assumptions!B10*Assumptions!B129+Assumptions!B11*Assumptions!B130),0)</f>
        <v>3686</v>
      </c>
      <c r="Q43" s="20">
        <f>ROUND('Growth Curves'!Q15*IF(16&lt;=6,Assumptions!B131,IF(16&lt;=11,0.25,Assumptions!B132))*(Assumptions!B9*Assumptions!B128+Assumptions!B10*Assumptions!B129+Assumptions!B11*Assumptions!B130),0)</f>
        <v>3686</v>
      </c>
      <c r="R43" s="20">
        <f>ROUND('Growth Curves'!R15*IF(17&lt;=6,Assumptions!B131,IF(17&lt;=11,0.25,Assumptions!B132))*(Assumptions!B9*Assumptions!B128+Assumptions!B10*Assumptions!B129+Assumptions!B11*Assumptions!B130),0)</f>
        <v>3686</v>
      </c>
      <c r="S43" s="20">
        <f>ROUND('Growth Curves'!S15*IF(18&lt;=6,Assumptions!B131,IF(18&lt;=11,0.25,Assumptions!B132))*(Assumptions!B9*Assumptions!B128+Assumptions!B10*Assumptions!B129+Assumptions!B11*Assumptions!B130),0)</f>
        <v>3686</v>
      </c>
      <c r="T43" s="20">
        <f>ROUND('Growth Curves'!T15*IF(19&lt;=6,Assumptions!B131,IF(19&lt;=11,0.25,Assumptions!B132))*(Assumptions!B9*Assumptions!B128+Assumptions!B10*Assumptions!B129+Assumptions!B11*Assumptions!B130),0)</f>
        <v>4378</v>
      </c>
      <c r="U43" s="20">
        <f>ROUND('Growth Curves'!U15*IF(20&lt;=6,Assumptions!B131,IF(20&lt;=11,0.25,Assumptions!B132))*(Assumptions!B9*Assumptions!B128+Assumptions!B10*Assumptions!B129+Assumptions!B11*Assumptions!B130),0)</f>
        <v>4378</v>
      </c>
      <c r="V43" s="20">
        <f>ROUND('Growth Curves'!V15*IF(21&lt;=6,Assumptions!B131,IF(21&lt;=11,0.25,Assumptions!B132))*(Assumptions!B9*Assumptions!B128+Assumptions!B10*Assumptions!B129+Assumptions!B11*Assumptions!B130),0)</f>
        <v>4378</v>
      </c>
      <c r="W43" s="20">
        <f>ROUND('Growth Curves'!W15*IF(22&lt;=6,Assumptions!B131,IF(22&lt;=11,0.25,Assumptions!B132))*(Assumptions!B9*Assumptions!B128+Assumptions!B10*Assumptions!B129+Assumptions!B11*Assumptions!B130),0)</f>
        <v>4378</v>
      </c>
      <c r="X43" s="20">
        <f>ROUND('Growth Curves'!X15*IF(23&lt;=6,Assumptions!B131,IF(23&lt;=11,0.25,Assumptions!B132))*(Assumptions!B9*Assumptions!B128+Assumptions!B10*Assumptions!B129+Assumptions!B11*Assumptions!B130),0)</f>
        <v>4378</v>
      </c>
      <c r="Y43" s="20">
        <f>ROUND('Growth Curves'!Y15*IF(24&lt;=6,Assumptions!B131,IF(24&lt;=11,0.25,Assumptions!B132))*(Assumptions!B9*Assumptions!B128+Assumptions!B10*Assumptions!B129+Assumptions!B11*Assumptions!B130),0)</f>
        <v>4378</v>
      </c>
      <c r="Z43" s="20">
        <f t="shared" si="8"/>
        <v>66778</v>
      </c>
    </row>
    <row r="44" ht="15.75" customHeight="1">
      <c r="A44" s="17" t="s">
        <v>63</v>
      </c>
      <c r="B44" s="18">
        <v>0.0</v>
      </c>
      <c r="C44" s="18">
        <v>0.0</v>
      </c>
      <c r="D44" s="18">
        <v>0.0</v>
      </c>
      <c r="E44" s="18">
        <v>0.0</v>
      </c>
      <c r="F44" s="18">
        <v>0.0</v>
      </c>
      <c r="G44" s="18">
        <v>0.0</v>
      </c>
      <c r="H44" s="18">
        <v>0.0</v>
      </c>
      <c r="I44" s="18">
        <v>0.0</v>
      </c>
      <c r="J44" s="18">
        <v>585.0</v>
      </c>
      <c r="K44" s="18">
        <v>585.0</v>
      </c>
      <c r="L44" s="18">
        <v>585.0</v>
      </c>
      <c r="M44" s="18">
        <v>1170.0</v>
      </c>
      <c r="N44" s="18">
        <v>1170.0</v>
      </c>
      <c r="O44" s="18">
        <v>1170.0</v>
      </c>
      <c r="P44" s="18">
        <v>1170.0</v>
      </c>
      <c r="Q44" s="18">
        <v>1170.0</v>
      </c>
      <c r="R44" s="18">
        <v>1170.0</v>
      </c>
      <c r="S44" s="18">
        <v>1755.0</v>
      </c>
      <c r="T44" s="18">
        <v>1755.0</v>
      </c>
      <c r="U44" s="18">
        <v>1755.0</v>
      </c>
      <c r="V44" s="18">
        <v>1755.0</v>
      </c>
      <c r="W44" s="18">
        <v>1755.0</v>
      </c>
      <c r="X44" s="18">
        <v>1755.0</v>
      </c>
      <c r="Y44" s="18">
        <v>1755.0</v>
      </c>
      <c r="Z44" s="18">
        <f t="shared" si="8"/>
        <v>21060</v>
      </c>
    </row>
    <row r="45" ht="15.75" customHeight="1">
      <c r="A45" s="17" t="s">
        <v>64</v>
      </c>
      <c r="B45" s="18">
        <f>IF(1&gt;=4,Assumptions!B135,0)</f>
        <v>0</v>
      </c>
      <c r="C45" s="18">
        <f>IF(2&gt;=4,Assumptions!B135,0)</f>
        <v>0</v>
      </c>
      <c r="D45" s="18">
        <f>IF(3&gt;=4,Assumptions!B135,0)</f>
        <v>0</v>
      </c>
      <c r="E45" s="18">
        <f>IF(4&gt;=4,Assumptions!B135,0)</f>
        <v>441</v>
      </c>
      <c r="F45" s="18">
        <f>IF(5&gt;=4,Assumptions!B135,0)</f>
        <v>441</v>
      </c>
      <c r="G45" s="18">
        <f>IF(6&gt;=4,Assumptions!B135,0)</f>
        <v>441</v>
      </c>
      <c r="H45" s="18">
        <f>IF(7&gt;=4,Assumptions!B135,0)</f>
        <v>441</v>
      </c>
      <c r="I45" s="18">
        <f>IF(8&gt;=4,Assumptions!B135,0)</f>
        <v>441</v>
      </c>
      <c r="J45" s="18">
        <f>IF(9&gt;=4,Assumptions!B135,0)</f>
        <v>441</v>
      </c>
      <c r="K45" s="18">
        <f>IF(10&gt;=4,Assumptions!B135,0)</f>
        <v>441</v>
      </c>
      <c r="L45" s="18">
        <f>IF(11&gt;=4,Assumptions!B135,0)</f>
        <v>441</v>
      </c>
      <c r="M45" s="18">
        <f>IF(12&gt;=4,Assumptions!B135,0)</f>
        <v>441</v>
      </c>
      <c r="N45" s="18">
        <f>IF(13&gt;=4,Assumptions!B135,0)</f>
        <v>441</v>
      </c>
      <c r="O45" s="18">
        <f>IF(14&gt;=4,Assumptions!B135,0)</f>
        <v>441</v>
      </c>
      <c r="P45" s="18">
        <f>IF(15&gt;=4,Assumptions!B135,0)</f>
        <v>441</v>
      </c>
      <c r="Q45" s="18">
        <f>IF(16&gt;=4,Assumptions!B135,0)</f>
        <v>441</v>
      </c>
      <c r="R45" s="18">
        <f>IF(17&gt;=4,Assumptions!B135,0)</f>
        <v>441</v>
      </c>
      <c r="S45" s="18">
        <f>IF(18&gt;=4,Assumptions!B135,0)</f>
        <v>441</v>
      </c>
      <c r="T45" s="18">
        <f>IF(19&gt;=4,Assumptions!B135,0)</f>
        <v>441</v>
      </c>
      <c r="U45" s="18">
        <f>IF(20&gt;=4,Assumptions!B135,0)</f>
        <v>441</v>
      </c>
      <c r="V45" s="18">
        <f>IF(21&gt;=4,Assumptions!B135,0)</f>
        <v>441</v>
      </c>
      <c r="W45" s="18">
        <f>IF(22&gt;=4,Assumptions!B135,0)</f>
        <v>441</v>
      </c>
      <c r="X45" s="18">
        <f>IF(23&gt;=4,Assumptions!B135,0)</f>
        <v>441</v>
      </c>
      <c r="Y45" s="18">
        <f>IF(24&gt;=4,Assumptions!B135,0)</f>
        <v>441</v>
      </c>
      <c r="Z45" s="18">
        <f t="shared" si="8"/>
        <v>9261</v>
      </c>
    </row>
    <row r="46" ht="15.75" customHeight="1">
      <c r="A46" s="11"/>
    </row>
    <row r="47" ht="15.75" customHeight="1">
      <c r="A47" s="23" t="s">
        <v>65</v>
      </c>
      <c r="B47" s="24">
        <f t="shared" ref="B47:Y47" si="10">B17+B21+B25+B31+B35+B36+B42+B44+B45</f>
        <v>0</v>
      </c>
      <c r="C47" s="24">
        <f t="shared" si="10"/>
        <v>0</v>
      </c>
      <c r="D47" s="24">
        <f t="shared" si="10"/>
        <v>0</v>
      </c>
      <c r="E47" s="24">
        <f t="shared" si="10"/>
        <v>4805</v>
      </c>
      <c r="F47" s="24">
        <f t="shared" si="10"/>
        <v>8401</v>
      </c>
      <c r="G47" s="24">
        <f t="shared" si="10"/>
        <v>13002</v>
      </c>
      <c r="H47" s="24">
        <f t="shared" si="10"/>
        <v>20108</v>
      </c>
      <c r="I47" s="24">
        <f t="shared" si="10"/>
        <v>27535</v>
      </c>
      <c r="J47" s="24">
        <f t="shared" si="10"/>
        <v>34847</v>
      </c>
      <c r="K47" s="24">
        <f t="shared" si="10"/>
        <v>44412</v>
      </c>
      <c r="L47" s="24">
        <f t="shared" si="10"/>
        <v>53723</v>
      </c>
      <c r="M47" s="24">
        <f t="shared" si="10"/>
        <v>63456</v>
      </c>
      <c r="N47" s="24">
        <f t="shared" si="10"/>
        <v>75318</v>
      </c>
      <c r="O47" s="24">
        <f t="shared" si="10"/>
        <v>86877</v>
      </c>
      <c r="P47" s="24">
        <f t="shared" si="10"/>
        <v>99140</v>
      </c>
      <c r="Q47" s="24">
        <f t="shared" si="10"/>
        <v>115464</v>
      </c>
      <c r="R47" s="24">
        <f t="shared" si="10"/>
        <v>131988</v>
      </c>
      <c r="S47" s="24">
        <f t="shared" si="10"/>
        <v>148723</v>
      </c>
      <c r="T47" s="24">
        <f t="shared" si="10"/>
        <v>165237</v>
      </c>
      <c r="U47" s="24">
        <f t="shared" si="10"/>
        <v>182390</v>
      </c>
      <c r="V47" s="24">
        <f t="shared" si="10"/>
        <v>203539</v>
      </c>
      <c r="W47" s="24">
        <f t="shared" si="10"/>
        <v>224620</v>
      </c>
      <c r="X47" s="24">
        <f t="shared" si="10"/>
        <v>245655</v>
      </c>
      <c r="Y47" s="24">
        <f t="shared" si="10"/>
        <v>266236</v>
      </c>
      <c r="Z47" s="24">
        <f>SUM(B47:Y47)</f>
        <v>2215476</v>
      </c>
    </row>
    <row r="48" ht="15.75" customHeight="1">
      <c r="A48" s="11"/>
    </row>
    <row r="49" ht="15.75" customHeight="1">
      <c r="A49" s="5" t="s">
        <v>66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12" t="s">
        <v>67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21" t="s">
        <v>68</v>
      </c>
      <c r="B51" s="22">
        <f>ROUND(B15*Assumptions!B23,0)</f>
        <v>0</v>
      </c>
      <c r="C51" s="22">
        <f>ROUND(C15*Assumptions!B23,0)</f>
        <v>0</v>
      </c>
      <c r="D51" s="22">
        <f>ROUND(D15*Assumptions!B23,0)</f>
        <v>0</v>
      </c>
      <c r="E51" s="22">
        <f>ROUND(E15*Assumptions!B23,0)</f>
        <v>1175</v>
      </c>
      <c r="F51" s="22">
        <f>ROUND(F15*Assumptions!B23,0)</f>
        <v>2350</v>
      </c>
      <c r="G51" s="22">
        <f>ROUND(G15*Assumptions!B23,0)</f>
        <v>3525</v>
      </c>
      <c r="H51" s="22">
        <f>ROUND(H15*Assumptions!B23,0)</f>
        <v>5875</v>
      </c>
      <c r="I51" s="22">
        <f>ROUND(I15*Assumptions!B23,0)</f>
        <v>8225</v>
      </c>
      <c r="J51" s="22">
        <f>ROUND(J15*Assumptions!B23,0)</f>
        <v>10575</v>
      </c>
      <c r="K51" s="22">
        <f>ROUND(K15*Assumptions!B23,0)</f>
        <v>14100</v>
      </c>
      <c r="L51" s="22">
        <f>ROUND(L15*Assumptions!B23,0)</f>
        <v>17625</v>
      </c>
      <c r="M51" s="22">
        <f>ROUND(M15*Assumptions!B23,0)</f>
        <v>21150</v>
      </c>
      <c r="N51" s="22">
        <f>ROUND(N15*Assumptions!B23,0)</f>
        <v>25850</v>
      </c>
      <c r="O51" s="22">
        <f>ROUND(O15*Assumptions!B23,0)</f>
        <v>30550</v>
      </c>
      <c r="P51" s="22">
        <f>ROUND(P15*Assumptions!B23,0)</f>
        <v>35250</v>
      </c>
      <c r="Q51" s="22">
        <f>ROUND(Q15*Assumptions!B23,0)</f>
        <v>42300</v>
      </c>
      <c r="R51" s="22">
        <f>ROUND(R15*Assumptions!B23,0)</f>
        <v>49350</v>
      </c>
      <c r="S51" s="22">
        <f>ROUND(S15*Assumptions!B23,0)</f>
        <v>56400</v>
      </c>
      <c r="T51" s="22">
        <f>ROUND(T15*Assumptions!B23,0)</f>
        <v>63450</v>
      </c>
      <c r="U51" s="22">
        <f>ROUND(U15*Assumptions!B23,0)</f>
        <v>70500</v>
      </c>
      <c r="V51" s="22">
        <f>ROUND(V15*Assumptions!B23,0)</f>
        <v>79900</v>
      </c>
      <c r="W51" s="22">
        <f>ROUND(W15*Assumptions!B23,0)</f>
        <v>89300</v>
      </c>
      <c r="X51" s="22">
        <f>ROUND(X15*Assumptions!B23,0)</f>
        <v>98700</v>
      </c>
      <c r="Y51" s="22">
        <f>ROUND(Y15*Assumptions!B23,0)</f>
        <v>108100</v>
      </c>
      <c r="Z51" s="22">
        <f t="shared" ref="Z51:Z54" si="11">SUM(B51:Y51)</f>
        <v>834250</v>
      </c>
    </row>
    <row r="52" ht="15.75" customHeight="1">
      <c r="A52" s="21" t="s">
        <v>69</v>
      </c>
      <c r="B52" s="22">
        <f>ROUND(B17*Assumptions!B36,0)</f>
        <v>0</v>
      </c>
      <c r="C52" s="22">
        <f>ROUND(C17*Assumptions!B36,0)</f>
        <v>0</v>
      </c>
      <c r="D52" s="22">
        <f>ROUND(D17*Assumptions!B36,0)</f>
        <v>0</v>
      </c>
      <c r="E52" s="22">
        <f>ROUND(E17*Assumptions!B36,0)</f>
        <v>135</v>
      </c>
      <c r="F52" s="22">
        <f>ROUND(F17*Assumptions!B36,0)</f>
        <v>270</v>
      </c>
      <c r="G52" s="22">
        <f>ROUND(G17*Assumptions!B36,0)</f>
        <v>404</v>
      </c>
      <c r="H52" s="22">
        <f>ROUND(H17*Assumptions!B36,0)</f>
        <v>674</v>
      </c>
      <c r="I52" s="22">
        <f>ROUND(I17*Assumptions!B36,0)</f>
        <v>943</v>
      </c>
      <c r="J52" s="22">
        <f>ROUND(J17*Assumptions!B36,0)</f>
        <v>1213</v>
      </c>
      <c r="K52" s="22">
        <f>ROUND(K17*Assumptions!B36,0)</f>
        <v>1617</v>
      </c>
      <c r="L52" s="22">
        <f>ROUND(L17*Assumptions!B36,0)</f>
        <v>2021</v>
      </c>
      <c r="M52" s="22">
        <f>ROUND(M17*Assumptions!B36,0)</f>
        <v>2426</v>
      </c>
      <c r="N52" s="22">
        <f>ROUND(N17*Assumptions!B36,0)</f>
        <v>2965</v>
      </c>
      <c r="O52" s="22">
        <f>ROUND(O17*Assumptions!B36,0)</f>
        <v>3504</v>
      </c>
      <c r="P52" s="22">
        <f>ROUND(P17*Assumptions!B36,0)</f>
        <v>4043</v>
      </c>
      <c r="Q52" s="22">
        <f>ROUND(Q17*Assumptions!B36,0)</f>
        <v>4851</v>
      </c>
      <c r="R52" s="22">
        <f>ROUND(R17*Assumptions!B36,0)</f>
        <v>5660</v>
      </c>
      <c r="S52" s="22">
        <f>ROUND(S17*Assumptions!B36,0)</f>
        <v>6468</v>
      </c>
      <c r="T52" s="22">
        <f>ROUND(T17*Assumptions!B36,0)</f>
        <v>7277</v>
      </c>
      <c r="U52" s="22">
        <f>ROUND(U17*Assumptions!B36,0)</f>
        <v>8085</v>
      </c>
      <c r="V52" s="22">
        <f>ROUND(V17*Assumptions!B36,0)</f>
        <v>9163</v>
      </c>
      <c r="W52" s="22">
        <f>ROUND(W17*Assumptions!B36,0)</f>
        <v>10241</v>
      </c>
      <c r="X52" s="22">
        <f>ROUND(X17*Assumptions!B36,0)</f>
        <v>11319</v>
      </c>
      <c r="Y52" s="22">
        <f>ROUND(Y17*Assumptions!B36,0)</f>
        <v>12397</v>
      </c>
      <c r="Z52" s="22">
        <f t="shared" si="11"/>
        <v>95676</v>
      </c>
    </row>
    <row r="53" ht="15.75" customHeight="1">
      <c r="A53" s="17" t="s">
        <v>70</v>
      </c>
      <c r="B53" s="18">
        <f>IF(1&gt;=4,ROUND(B15*Assumptions!B37,0),0)</f>
        <v>0</v>
      </c>
      <c r="C53" s="18">
        <f>IF(2&gt;=4,ROUND(C15*Assumptions!B37,0),0)</f>
        <v>0</v>
      </c>
      <c r="D53" s="18">
        <f>IF(3&gt;=4,ROUND(D15*Assumptions!B37,0),0)</f>
        <v>0</v>
      </c>
      <c r="E53" s="18">
        <f>IF(4&gt;=4,ROUND(E15*Assumptions!B37,0),0)</f>
        <v>125</v>
      </c>
      <c r="F53" s="18">
        <f>IF(5&gt;=4,ROUND(F15*Assumptions!B37,0),0)</f>
        <v>250</v>
      </c>
      <c r="G53" s="18">
        <f>IF(6&gt;=4,ROUND(G15*Assumptions!B37,0),0)</f>
        <v>375</v>
      </c>
      <c r="H53" s="18">
        <f>IF(7&gt;=4,ROUND(H15*Assumptions!B37,0),0)</f>
        <v>625</v>
      </c>
      <c r="I53" s="18">
        <f>IF(8&gt;=4,ROUND(I15*Assumptions!B37,0),0)</f>
        <v>875</v>
      </c>
      <c r="J53" s="18">
        <f>IF(9&gt;=4,ROUND(J15*Assumptions!B37,0),0)</f>
        <v>1125</v>
      </c>
      <c r="K53" s="18">
        <f>IF(10&gt;=4,ROUND(K15*Assumptions!B37,0),0)</f>
        <v>1500</v>
      </c>
      <c r="L53" s="18">
        <f>IF(11&gt;=4,ROUND(L15*Assumptions!B37,0),0)</f>
        <v>1875</v>
      </c>
      <c r="M53" s="18">
        <f>IF(12&gt;=4,ROUND(M15*Assumptions!B37,0),0)</f>
        <v>2250</v>
      </c>
      <c r="N53" s="18">
        <f>IF(13&gt;=4,ROUND(N15*Assumptions!B37,0),0)</f>
        <v>2750</v>
      </c>
      <c r="O53" s="18">
        <f>IF(14&gt;=4,ROUND(O15*Assumptions!B37,0),0)</f>
        <v>3250</v>
      </c>
      <c r="P53" s="18">
        <f>IF(15&gt;=4,ROUND(P15*Assumptions!B37,0),0)</f>
        <v>3750</v>
      </c>
      <c r="Q53" s="18">
        <f>IF(16&gt;=4,ROUND(Q15*Assumptions!B37,0),0)</f>
        <v>4500</v>
      </c>
      <c r="R53" s="18">
        <f>IF(17&gt;=4,ROUND(R15*Assumptions!B37,0),0)</f>
        <v>5250</v>
      </c>
      <c r="S53" s="18">
        <f>IF(18&gt;=4,ROUND(S15*Assumptions!B37,0),0)</f>
        <v>6000</v>
      </c>
      <c r="T53" s="18">
        <f>IF(19&gt;=4,ROUND(T15*Assumptions!B37,0),0)</f>
        <v>6750</v>
      </c>
      <c r="U53" s="18">
        <f>IF(20&gt;=4,ROUND(U15*Assumptions!B37,0),0)</f>
        <v>7500</v>
      </c>
      <c r="V53" s="18">
        <f>IF(21&gt;=4,ROUND(V15*Assumptions!B37,0),0)</f>
        <v>8500</v>
      </c>
      <c r="W53" s="18">
        <f>IF(22&gt;=4,ROUND(W15*Assumptions!B37,0),0)</f>
        <v>9500</v>
      </c>
      <c r="X53" s="18">
        <f>IF(23&gt;=4,ROUND(X15*Assumptions!B37,0),0)</f>
        <v>10500</v>
      </c>
      <c r="Y53" s="18">
        <f>IF(24&gt;=4,ROUND(Y15*Assumptions!B37,0),0)</f>
        <v>11500</v>
      </c>
      <c r="Z53" s="18">
        <f t="shared" si="11"/>
        <v>88750</v>
      </c>
    </row>
    <row r="54" ht="15.75" customHeight="1">
      <c r="A54" s="17" t="s">
        <v>71</v>
      </c>
      <c r="B54" s="18">
        <f>ROUND(B19*Assumptions!B25,0)</f>
        <v>0</v>
      </c>
      <c r="C54" s="18">
        <f>ROUND(C19*Assumptions!B25,0)</f>
        <v>0</v>
      </c>
      <c r="D54" s="18">
        <f>ROUND(D19*Assumptions!B25,0)</f>
        <v>0</v>
      </c>
      <c r="E54" s="18">
        <f>ROUND(E19*Assumptions!B25,0)</f>
        <v>0</v>
      </c>
      <c r="F54" s="18">
        <f>ROUND(F19*Assumptions!B25,0)</f>
        <v>0</v>
      </c>
      <c r="G54" s="18">
        <f>ROUND(G19*Assumptions!B25,0)</f>
        <v>0</v>
      </c>
      <c r="H54" s="18">
        <f>ROUND(H19*Assumptions!B25,0)</f>
        <v>0</v>
      </c>
      <c r="I54" s="18">
        <f>ROUND(I19*Assumptions!B25,0)</f>
        <v>0</v>
      </c>
      <c r="J54" s="18">
        <f>ROUND(J19*Assumptions!B25,0)</f>
        <v>0</v>
      </c>
      <c r="K54" s="18">
        <f>ROUND(K19*Assumptions!B25,0)</f>
        <v>0</v>
      </c>
      <c r="L54" s="18">
        <f>ROUND(L19*Assumptions!B25,0)</f>
        <v>0</v>
      </c>
      <c r="M54" s="18">
        <f>ROUND(M19*Assumptions!B25,0)</f>
        <v>0</v>
      </c>
      <c r="N54" s="18">
        <f>ROUND(N19*Assumptions!B25,0)</f>
        <v>0</v>
      </c>
      <c r="O54" s="18">
        <f>ROUND(O19*Assumptions!B25,0)</f>
        <v>0</v>
      </c>
      <c r="P54" s="18">
        <f>ROUND(P19*Assumptions!B25,0)</f>
        <v>0</v>
      </c>
      <c r="Q54" s="18">
        <f>ROUND(Q19*Assumptions!B25,0)</f>
        <v>0</v>
      </c>
      <c r="R54" s="18">
        <f>ROUND(R19*Assumptions!B25,0)</f>
        <v>0</v>
      </c>
      <c r="S54" s="18">
        <f>ROUND(S19*Assumptions!B25,0)</f>
        <v>0</v>
      </c>
      <c r="T54" s="18">
        <f>ROUND(T19*Assumptions!B25,0)</f>
        <v>0</v>
      </c>
      <c r="U54" s="18">
        <f>ROUND(U19*Assumptions!B25,0)</f>
        <v>0</v>
      </c>
      <c r="V54" s="18">
        <f>ROUND(V19*Assumptions!B25,0)</f>
        <v>0</v>
      </c>
      <c r="W54" s="18">
        <f>ROUND(W19*Assumptions!B25,0)</f>
        <v>0</v>
      </c>
      <c r="X54" s="18">
        <f>ROUND(X19*Assumptions!B25,0)</f>
        <v>0</v>
      </c>
      <c r="Y54" s="18">
        <f>ROUND(Y19*Assumptions!B25,0)</f>
        <v>0</v>
      </c>
      <c r="Z54" s="18">
        <f t="shared" si="11"/>
        <v>0</v>
      </c>
    </row>
    <row r="55" ht="15.75" customHeight="1">
      <c r="A55" s="12" t="s">
        <v>72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17" t="s">
        <v>73</v>
      </c>
      <c r="B56" s="18">
        <f>ROUND(B25*Assumptions!B27,0)</f>
        <v>0</v>
      </c>
      <c r="C56" s="18">
        <f>ROUND(C25*Assumptions!B27,0)</f>
        <v>0</v>
      </c>
      <c r="D56" s="18">
        <f>ROUND(D25*Assumptions!B27,0)</f>
        <v>0</v>
      </c>
      <c r="E56" s="18">
        <f>ROUND(E25*Assumptions!B27,0)</f>
        <v>338</v>
      </c>
      <c r="F56" s="18">
        <f>ROUND(F25*Assumptions!B27,0)</f>
        <v>508</v>
      </c>
      <c r="G56" s="18">
        <f>ROUND(G25*Assumptions!B27,0)</f>
        <v>846</v>
      </c>
      <c r="H56" s="18">
        <f>ROUND(H25*Assumptions!B27,0)</f>
        <v>1185</v>
      </c>
      <c r="I56" s="18">
        <f>ROUND(I25*Assumptions!B27,0)</f>
        <v>1523</v>
      </c>
      <c r="J56" s="18">
        <f>ROUND(J25*Assumptions!B27,0)</f>
        <v>1862</v>
      </c>
      <c r="K56" s="18">
        <f>ROUND(K25*Assumptions!B27,0)</f>
        <v>2200</v>
      </c>
      <c r="L56" s="18">
        <f>ROUND(L25*Assumptions!B27,0)</f>
        <v>2539</v>
      </c>
      <c r="M56" s="18">
        <f>ROUND(M25*Assumptions!B27,0)</f>
        <v>2877</v>
      </c>
      <c r="N56" s="18">
        <f>ROUND(N25*Assumptions!B27,0)</f>
        <v>3215</v>
      </c>
      <c r="O56" s="18">
        <f>ROUND(O25*Assumptions!B27,0)</f>
        <v>3554</v>
      </c>
      <c r="P56" s="18">
        <f>ROUND(P25*Assumptions!B27,0)</f>
        <v>3892</v>
      </c>
      <c r="Q56" s="18">
        <f>ROUND(Q25*Assumptions!B27,0)</f>
        <v>4231</v>
      </c>
      <c r="R56" s="18">
        <f>ROUND(R25*Assumptions!B27,0)</f>
        <v>4569</v>
      </c>
      <c r="S56" s="18">
        <f>ROUND(S25*Assumptions!B27,0)</f>
        <v>4908</v>
      </c>
      <c r="T56" s="18">
        <f>ROUND(T25*Assumptions!B27,0)</f>
        <v>5246</v>
      </c>
      <c r="U56" s="18">
        <f>ROUND(U25*Assumptions!B27,0)</f>
        <v>5585</v>
      </c>
      <c r="V56" s="18">
        <f>ROUND(V25*Assumptions!B27,0)</f>
        <v>5923</v>
      </c>
      <c r="W56" s="18">
        <f>ROUND(W25*Assumptions!B27,0)</f>
        <v>6262</v>
      </c>
      <c r="X56" s="18">
        <f>ROUND(X25*Assumptions!B27,0)</f>
        <v>6600</v>
      </c>
      <c r="Y56" s="18">
        <f>ROUND(Y25*Assumptions!B27,0)</f>
        <v>6769</v>
      </c>
      <c r="Z56" s="18">
        <f t="shared" ref="Z56:Z62" si="12">SUM(B56:Y56)</f>
        <v>74632</v>
      </c>
    </row>
    <row r="57" ht="15.75" customHeight="1">
      <c r="A57" s="17" t="s">
        <v>74</v>
      </c>
      <c r="B57" s="18">
        <f>ROUND(B27*Assumptions!B29+B31*Assumptions!B30,0)</f>
        <v>0</v>
      </c>
      <c r="C57" s="18">
        <f>ROUND(C27*Assumptions!B29+C31*Assumptions!B30,0)</f>
        <v>0</v>
      </c>
      <c r="D57" s="18">
        <f>ROUND(D27*Assumptions!B29+D31*Assumptions!B30,0)</f>
        <v>0</v>
      </c>
      <c r="E57" s="18">
        <f>ROUND(E27*Assumptions!B29+E31*Assumptions!B30,0)</f>
        <v>279</v>
      </c>
      <c r="F57" s="18">
        <f>ROUND(F27*Assumptions!B29+F31*Assumptions!B30,0)</f>
        <v>287</v>
      </c>
      <c r="G57" s="18">
        <f>ROUND(G27*Assumptions!B29+G31*Assumptions!B30,0)</f>
        <v>574</v>
      </c>
      <c r="H57" s="18">
        <f>ROUND(H27*Assumptions!B29+H31*Assumptions!B30,0)</f>
        <v>588</v>
      </c>
      <c r="I57" s="18">
        <f>ROUND(I27*Assumptions!B29+I31*Assumptions!B30,0)</f>
        <v>882</v>
      </c>
      <c r="J57" s="18">
        <f>ROUND(J27*Assumptions!B29+J31*Assumptions!B30,0)</f>
        <v>882</v>
      </c>
      <c r="K57" s="18">
        <f>ROUND(K27*Assumptions!B29+K31*Assumptions!B30,0)</f>
        <v>897</v>
      </c>
      <c r="L57" s="18">
        <f>ROUND(L27*Assumptions!B29+L31*Assumptions!B30,0)</f>
        <v>897</v>
      </c>
      <c r="M57" s="18">
        <f>ROUND(M27*Assumptions!B29+M31*Assumptions!B30,0)</f>
        <v>897</v>
      </c>
      <c r="N57" s="18">
        <f>ROUND(N27*Assumptions!B29+N31*Assumptions!B30,0)</f>
        <v>912</v>
      </c>
      <c r="O57" s="18">
        <f>ROUND(O27*Assumptions!B29+O31*Assumptions!B30,0)</f>
        <v>912</v>
      </c>
      <c r="P57" s="18">
        <f>ROUND(P27*Assumptions!B29+P31*Assumptions!B30,0)</f>
        <v>1216</v>
      </c>
      <c r="Q57" s="18">
        <f>ROUND(Q27*Assumptions!B29+Q31*Assumptions!B30,0)</f>
        <v>1216</v>
      </c>
      <c r="R57" s="18">
        <f>ROUND(R27*Assumptions!B29+R31*Assumptions!B30,0)</f>
        <v>1235</v>
      </c>
      <c r="S57" s="18">
        <f>ROUND(S27*Assumptions!B29+S31*Assumptions!B30,0)</f>
        <v>1235</v>
      </c>
      <c r="T57" s="18">
        <f>ROUND(T27*Assumptions!B29+T31*Assumptions!B30,0)</f>
        <v>1245</v>
      </c>
      <c r="U57" s="18">
        <f>ROUND(U27*Assumptions!B29+U31*Assumptions!B30,0)</f>
        <v>1556</v>
      </c>
      <c r="V57" s="18">
        <f>ROUND(V27*Assumptions!B29+V31*Assumptions!B30,0)</f>
        <v>1556</v>
      </c>
      <c r="W57" s="18">
        <f>ROUND(W27*Assumptions!B29+W31*Assumptions!B30,0)</f>
        <v>1556</v>
      </c>
      <c r="X57" s="18">
        <f>ROUND(X27*Assumptions!B29+X31*Assumptions!B30,0)</f>
        <v>1556</v>
      </c>
      <c r="Y57" s="18">
        <f>ROUND(Y27*Assumptions!B29+Y31*Assumptions!B30,0)</f>
        <v>1556</v>
      </c>
      <c r="Z57" s="18">
        <f t="shared" si="12"/>
        <v>21934</v>
      </c>
    </row>
    <row r="58" ht="15.75" customHeight="1">
      <c r="A58" s="21" t="s">
        <v>75</v>
      </c>
      <c r="B58" s="22">
        <f>ROUND('Growth Curves'!B12*Assumptions!B32,0)</f>
        <v>0</v>
      </c>
      <c r="C58" s="22">
        <f>ROUND('Growth Curves'!C12*Assumptions!B32,0)</f>
        <v>0</v>
      </c>
      <c r="D58" s="22">
        <f>ROUND('Growth Curves'!D12*Assumptions!B32,0)</f>
        <v>0</v>
      </c>
      <c r="E58" s="22">
        <f>ROUND('Growth Curves'!E12*Assumptions!B32,0)</f>
        <v>0</v>
      </c>
      <c r="F58" s="22">
        <f>ROUND('Growth Curves'!F12*Assumptions!B32,0)</f>
        <v>0</v>
      </c>
      <c r="G58" s="22">
        <f>ROUND('Growth Curves'!G12*Assumptions!B32,0)</f>
        <v>50</v>
      </c>
      <c r="H58" s="22">
        <f>ROUND('Growth Curves'!H12*Assumptions!B32,0)</f>
        <v>75</v>
      </c>
      <c r="I58" s="22">
        <f>ROUND('Growth Curves'!I12*Assumptions!B32,0)</f>
        <v>75</v>
      </c>
      <c r="J58" s="22">
        <f>ROUND('Growth Curves'!J12*Assumptions!B32,0)</f>
        <v>50</v>
      </c>
      <c r="K58" s="22">
        <f>ROUND('Growth Curves'!K12*Assumptions!B32,0)</f>
        <v>50</v>
      </c>
      <c r="L58" s="22">
        <f>ROUND('Growth Curves'!L12*Assumptions!B32,0)</f>
        <v>75</v>
      </c>
      <c r="M58" s="22">
        <f>ROUND('Growth Curves'!M12*Assumptions!B32,0)</f>
        <v>50</v>
      </c>
      <c r="N58" s="22">
        <f>ROUND('Growth Curves'!N12*Assumptions!B32,0)</f>
        <v>25</v>
      </c>
      <c r="O58" s="22">
        <f>ROUND('Growth Curves'!O12*Assumptions!B32,0)</f>
        <v>25</v>
      </c>
      <c r="P58" s="22">
        <f>ROUND('Growth Curves'!P12*Assumptions!B32,0)</f>
        <v>25</v>
      </c>
      <c r="Q58" s="22">
        <f>ROUND('Growth Curves'!Q12*Assumptions!B32,0)</f>
        <v>0</v>
      </c>
      <c r="R58" s="22">
        <f>ROUND('Growth Curves'!R12*Assumptions!B32,0)</f>
        <v>0</v>
      </c>
      <c r="S58" s="22">
        <f>ROUND('Growth Curves'!S12*Assumptions!B32,0)</f>
        <v>0</v>
      </c>
      <c r="T58" s="22">
        <f>ROUND('Growth Curves'!T12*Assumptions!B32,0)</f>
        <v>0</v>
      </c>
      <c r="U58" s="22">
        <f>ROUND('Growth Curves'!U12*Assumptions!B32,0)</f>
        <v>0</v>
      </c>
      <c r="V58" s="22">
        <f>ROUND('Growth Curves'!V12*Assumptions!B32,0)</f>
        <v>0</v>
      </c>
      <c r="W58" s="22">
        <f>ROUND('Growth Curves'!W12*Assumptions!B32,0)</f>
        <v>0</v>
      </c>
      <c r="X58" s="22">
        <f>ROUND('Growth Curves'!X12*Assumptions!B32,0)</f>
        <v>0</v>
      </c>
      <c r="Y58" s="22">
        <f>ROUND('Growth Curves'!Y12*Assumptions!B32,0)</f>
        <v>0</v>
      </c>
      <c r="Z58" s="22">
        <f t="shared" si="12"/>
        <v>500</v>
      </c>
    </row>
    <row r="59" ht="15.75" customHeight="1">
      <c r="A59" s="21" t="s">
        <v>76</v>
      </c>
      <c r="B59" s="22">
        <f>ROUND('Growth Curves'!B17*Assumptions!B39,0)</f>
        <v>0</v>
      </c>
      <c r="C59" s="22">
        <f>ROUND('Growth Curves'!C17*Assumptions!B39,0)</f>
        <v>0</v>
      </c>
      <c r="D59" s="22">
        <f>ROUND('Growth Curves'!D17*Assumptions!B39,0)</f>
        <v>0</v>
      </c>
      <c r="E59" s="22">
        <f>ROUND('Growth Curves'!E17*Assumptions!B39,0)</f>
        <v>5</v>
      </c>
      <c r="F59" s="22">
        <f>ROUND('Growth Curves'!F17*Assumptions!B39,0)</f>
        <v>10</v>
      </c>
      <c r="G59" s="22">
        <f>ROUND('Growth Curves'!G17*Assumptions!B39,0)</f>
        <v>15</v>
      </c>
      <c r="H59" s="22">
        <f>ROUND('Growth Curves'!H17*Assumptions!B39,0)</f>
        <v>21</v>
      </c>
      <c r="I59" s="22">
        <f>ROUND('Growth Curves'!I17*Assumptions!B39,0)</f>
        <v>27</v>
      </c>
      <c r="J59" s="22">
        <f>ROUND('Growth Curves'!J17*Assumptions!B39,0)</f>
        <v>33</v>
      </c>
      <c r="K59" s="22">
        <f>ROUND('Growth Curves'!K17*Assumptions!B39,0)</f>
        <v>40</v>
      </c>
      <c r="L59" s="22">
        <f>ROUND('Growth Curves'!L17*Assumptions!B39,0)</f>
        <v>47</v>
      </c>
      <c r="M59" s="22">
        <f>ROUND('Growth Curves'!M17*Assumptions!B39,0)</f>
        <v>53</v>
      </c>
      <c r="N59" s="22">
        <f>ROUND('Growth Curves'!N17*Assumptions!B39,0)</f>
        <v>60</v>
      </c>
      <c r="O59" s="22">
        <f>ROUND('Growth Curves'!O17*Assumptions!B39,0)</f>
        <v>66</v>
      </c>
      <c r="P59" s="22">
        <f>ROUND('Growth Curves'!P17*Assumptions!B39,0)</f>
        <v>72</v>
      </c>
      <c r="Q59" s="22">
        <f>ROUND('Growth Curves'!Q17*Assumptions!B39,0)</f>
        <v>77</v>
      </c>
      <c r="R59" s="22">
        <f>ROUND('Growth Curves'!R17*Assumptions!B39,0)</f>
        <v>82</v>
      </c>
      <c r="S59" s="22">
        <f>ROUND('Growth Curves'!S17*Assumptions!B39,0)</f>
        <v>87</v>
      </c>
      <c r="T59" s="22">
        <f>ROUND('Growth Curves'!T17*Assumptions!B39,0)</f>
        <v>93</v>
      </c>
      <c r="U59" s="22">
        <f>ROUND('Growth Curves'!U17*Assumptions!B39,0)</f>
        <v>99</v>
      </c>
      <c r="V59" s="22">
        <f>ROUND('Growth Curves'!V17*Assumptions!B39,0)</f>
        <v>104</v>
      </c>
      <c r="W59" s="22">
        <f>ROUND('Growth Curves'!W17*Assumptions!B39,0)</f>
        <v>109</v>
      </c>
      <c r="X59" s="22">
        <f>ROUND('Growth Curves'!X17*Assumptions!B39,0)</f>
        <v>114</v>
      </c>
      <c r="Y59" s="22">
        <f>ROUND('Growth Curves'!Y17*Assumptions!B39,0)</f>
        <v>118</v>
      </c>
      <c r="Z59" s="22">
        <f t="shared" si="12"/>
        <v>1332</v>
      </c>
    </row>
    <row r="60" ht="15.75" customHeight="1">
      <c r="A60" s="21" t="s">
        <v>77</v>
      </c>
      <c r="B60" s="22">
        <f>ROUND((B17+B25+B31)*Assumptions!B40,0)</f>
        <v>0</v>
      </c>
      <c r="C60" s="22">
        <f>ROUND((C17+C25+C31)*Assumptions!B40,0)</f>
        <v>0</v>
      </c>
      <c r="D60" s="22">
        <f>ROUND((D17+D25+D31)*Assumptions!B40,0)</f>
        <v>0</v>
      </c>
      <c r="E60" s="22">
        <f>ROUND((E17+E25+E31)*Assumptions!B40,0)</f>
        <v>58</v>
      </c>
      <c r="F60" s="22">
        <f>ROUND((F17+F25+F31)*Assumptions!B40,0)</f>
        <v>103</v>
      </c>
      <c r="G60" s="22">
        <f>ROUND((G17+G25+G31)*Assumptions!B40,0)</f>
        <v>162</v>
      </c>
      <c r="H60" s="22">
        <f>ROUND((H17+H25+H31)*Assumptions!B40,0)</f>
        <v>253</v>
      </c>
      <c r="I60" s="22">
        <f>ROUND((I17+I25+I31)*Assumptions!B40,0)</f>
        <v>351</v>
      </c>
      <c r="J60" s="22">
        <f>ROUND((J17+J25+J31)*Assumptions!B40,0)</f>
        <v>439</v>
      </c>
      <c r="K60" s="22">
        <f>ROUND((K17+K25+K31)*Assumptions!B40,0)</f>
        <v>567</v>
      </c>
      <c r="L60" s="22">
        <f>ROUND((L17+L25+L31)*Assumptions!B40,0)</f>
        <v>692</v>
      </c>
      <c r="M60" s="22">
        <f>ROUND((M17+M25+M31)*Assumptions!B40,0)</f>
        <v>816</v>
      </c>
      <c r="N60" s="22">
        <f>ROUND((N17+N25+N31)*Assumptions!B40,0)</f>
        <v>981</v>
      </c>
      <c r="O60" s="22">
        <f>ROUND((O17+O25+O31)*Assumptions!B40,0)</f>
        <v>1142</v>
      </c>
      <c r="P60" s="22">
        <f>ROUND((P17+P25+P31)*Assumptions!B40,0)</f>
        <v>1316</v>
      </c>
      <c r="Q60" s="22">
        <f>ROUND((Q17+Q25+Q31)*Assumptions!B40,0)</f>
        <v>1551</v>
      </c>
      <c r="R60" s="22">
        <f>ROUND((R17+R25+R31)*Assumptions!B40,0)</f>
        <v>1790</v>
      </c>
      <c r="S60" s="22">
        <f>ROUND((S17+S25+S31)*Assumptions!B40,0)</f>
        <v>2025</v>
      </c>
      <c r="T60" s="22">
        <f>ROUND((T17+T25+T31)*Assumptions!B40,0)</f>
        <v>2262</v>
      </c>
      <c r="U60" s="22">
        <f>ROUND((U17+U25+U31)*Assumptions!B40,0)</f>
        <v>2510</v>
      </c>
      <c r="V60" s="22">
        <f>ROUND((V17+V25+V31)*Assumptions!B40,0)</f>
        <v>2818</v>
      </c>
      <c r="W60" s="22">
        <f>ROUND((W17+W25+W31)*Assumptions!B40,0)</f>
        <v>3127</v>
      </c>
      <c r="X60" s="22">
        <f>ROUND((X17+X25+X31)*Assumptions!B40,0)</f>
        <v>3435</v>
      </c>
      <c r="Y60" s="22">
        <f>ROUND((Y17+Y25+Y31)*Assumptions!B40,0)</f>
        <v>3737</v>
      </c>
      <c r="Z60" s="22">
        <f t="shared" si="12"/>
        <v>30135</v>
      </c>
    </row>
    <row r="61" ht="15.75" customHeight="1">
      <c r="A61" s="21" t="s">
        <v>78</v>
      </c>
      <c r="B61" s="22">
        <f>ROUND(B47*Assumptions!B41,0)</f>
        <v>0</v>
      </c>
      <c r="C61" s="22">
        <f>ROUND(C47*Assumptions!B41,0)</f>
        <v>0</v>
      </c>
      <c r="D61" s="22">
        <f>ROUND(D47*Assumptions!B41,0)</f>
        <v>0</v>
      </c>
      <c r="E61" s="22">
        <f>ROUND(E47*Assumptions!B41,0)</f>
        <v>24</v>
      </c>
      <c r="F61" s="22">
        <f>ROUND(F47*Assumptions!B41,0)</f>
        <v>42</v>
      </c>
      <c r="G61" s="22">
        <f>ROUND(G47*Assumptions!B41,0)</f>
        <v>65</v>
      </c>
      <c r="H61" s="22">
        <f>ROUND(H47*Assumptions!B41,0)</f>
        <v>101</v>
      </c>
      <c r="I61" s="22">
        <f>ROUND(I47*Assumptions!B41,0)</f>
        <v>138</v>
      </c>
      <c r="J61" s="22">
        <f>ROUND(J47*Assumptions!B41,0)</f>
        <v>174</v>
      </c>
      <c r="K61" s="22">
        <f>ROUND(K47*Assumptions!B41,0)</f>
        <v>222</v>
      </c>
      <c r="L61" s="22">
        <f>ROUND(L47*Assumptions!B41,0)</f>
        <v>269</v>
      </c>
      <c r="M61" s="22">
        <f>ROUND(M47*Assumptions!B41,0)</f>
        <v>317</v>
      </c>
      <c r="N61" s="22">
        <f>ROUND(N47*Assumptions!B41,0)</f>
        <v>377</v>
      </c>
      <c r="O61" s="22">
        <f>ROUND(O47*Assumptions!B41,0)</f>
        <v>434</v>
      </c>
      <c r="P61" s="22">
        <f>ROUND(P47*Assumptions!B41,0)</f>
        <v>496</v>
      </c>
      <c r="Q61" s="22">
        <f>ROUND(Q47*Assumptions!B41,0)</f>
        <v>577</v>
      </c>
      <c r="R61" s="22">
        <f>ROUND(R47*Assumptions!B41,0)</f>
        <v>660</v>
      </c>
      <c r="S61" s="22">
        <f>ROUND(S47*Assumptions!B41,0)</f>
        <v>744</v>
      </c>
      <c r="T61" s="22">
        <f>ROUND(T47*Assumptions!B41,0)</f>
        <v>826</v>
      </c>
      <c r="U61" s="22">
        <f>ROUND(U47*Assumptions!B41,0)</f>
        <v>912</v>
      </c>
      <c r="V61" s="22">
        <f>ROUND(V47*Assumptions!B41,0)</f>
        <v>1018</v>
      </c>
      <c r="W61" s="22">
        <f>ROUND(W47*Assumptions!B41,0)</f>
        <v>1123</v>
      </c>
      <c r="X61" s="22">
        <f>ROUND(X47*Assumptions!B41,0)</f>
        <v>1228</v>
      </c>
      <c r="Y61" s="22">
        <f>ROUND(Y47*Assumptions!B41,0)</f>
        <v>1331</v>
      </c>
      <c r="Z61" s="22">
        <f t="shared" si="12"/>
        <v>11078</v>
      </c>
    </row>
    <row r="62" ht="15.75" customHeight="1">
      <c r="A62" s="21" t="s">
        <v>79</v>
      </c>
      <c r="B62" s="22">
        <f>ROUND(B47*Assumptions!B38,0)</f>
        <v>0</v>
      </c>
      <c r="C62" s="22">
        <f>ROUND(C47*Assumptions!B38,0)</f>
        <v>0</v>
      </c>
      <c r="D62" s="22">
        <f>ROUND(D47*Assumptions!B38,0)</f>
        <v>0</v>
      </c>
      <c r="E62" s="22">
        <f>ROUND(E47*Assumptions!B38,0)</f>
        <v>139</v>
      </c>
      <c r="F62" s="22">
        <f>ROUND(F47*Assumptions!B38,0)</f>
        <v>244</v>
      </c>
      <c r="G62" s="22">
        <f>ROUND(G47*Assumptions!B38,0)</f>
        <v>377</v>
      </c>
      <c r="H62" s="22">
        <f>ROUND(H47*Assumptions!B38,0)</f>
        <v>583</v>
      </c>
      <c r="I62" s="22">
        <f>ROUND(I47*Assumptions!B38,0)</f>
        <v>799</v>
      </c>
      <c r="J62" s="22">
        <f>ROUND(J47*Assumptions!B38,0)</f>
        <v>1011</v>
      </c>
      <c r="K62" s="22">
        <f>ROUND(K47*Assumptions!B38,0)</f>
        <v>1288</v>
      </c>
      <c r="L62" s="22">
        <f>ROUND(L47*Assumptions!B38,0)</f>
        <v>1558</v>
      </c>
      <c r="M62" s="22">
        <f>ROUND(M47*Assumptions!B38,0)</f>
        <v>1840</v>
      </c>
      <c r="N62" s="22">
        <f>ROUND(N47*Assumptions!B38,0)</f>
        <v>2184</v>
      </c>
      <c r="O62" s="22">
        <f>ROUND(O47*Assumptions!B38,0)</f>
        <v>2519</v>
      </c>
      <c r="P62" s="22">
        <f>ROUND(P47*Assumptions!B38,0)</f>
        <v>2875</v>
      </c>
      <c r="Q62" s="22">
        <f>ROUND(Q47*Assumptions!B38,0)</f>
        <v>3348</v>
      </c>
      <c r="R62" s="22">
        <f>ROUND(R47*Assumptions!B38,0)</f>
        <v>3828</v>
      </c>
      <c r="S62" s="22">
        <f>ROUND(S47*Assumptions!B38,0)</f>
        <v>4313</v>
      </c>
      <c r="T62" s="22">
        <f>ROUND(T47*Assumptions!B38,0)</f>
        <v>4792</v>
      </c>
      <c r="U62" s="22">
        <f>ROUND(U47*Assumptions!B38,0)</f>
        <v>5289</v>
      </c>
      <c r="V62" s="22">
        <f>ROUND(V47*Assumptions!B38,0)</f>
        <v>5903</v>
      </c>
      <c r="W62" s="22">
        <f>ROUND(W47*Assumptions!B38,0)</f>
        <v>6514</v>
      </c>
      <c r="X62" s="22">
        <f>ROUND(X47*Assumptions!B38,0)</f>
        <v>7124</v>
      </c>
      <c r="Y62" s="22">
        <f>ROUND(Y47*Assumptions!B38,0)</f>
        <v>7721</v>
      </c>
      <c r="Z62" s="22">
        <f t="shared" si="12"/>
        <v>64249</v>
      </c>
    </row>
    <row r="63" ht="15.75" customHeight="1">
      <c r="A63" s="11"/>
    </row>
    <row r="64" ht="15.75" customHeight="1">
      <c r="A64" s="23" t="s">
        <v>80</v>
      </c>
      <c r="B64" s="24">
        <f t="shared" ref="B64:Y64" si="13">B51+B52+B53+B54+B56+B57+B58+B59+B60+B61+B62</f>
        <v>0</v>
      </c>
      <c r="C64" s="24">
        <f t="shared" si="13"/>
        <v>0</v>
      </c>
      <c r="D64" s="24">
        <f t="shared" si="13"/>
        <v>0</v>
      </c>
      <c r="E64" s="24">
        <f t="shared" si="13"/>
        <v>2278</v>
      </c>
      <c r="F64" s="24">
        <f t="shared" si="13"/>
        <v>4064</v>
      </c>
      <c r="G64" s="24">
        <f t="shared" si="13"/>
        <v>6393</v>
      </c>
      <c r="H64" s="24">
        <f t="shared" si="13"/>
        <v>9980</v>
      </c>
      <c r="I64" s="24">
        <f t="shared" si="13"/>
        <v>13838</v>
      </c>
      <c r="J64" s="24">
        <f t="shared" si="13"/>
        <v>17364</v>
      </c>
      <c r="K64" s="24">
        <f t="shared" si="13"/>
        <v>22481</v>
      </c>
      <c r="L64" s="24">
        <f t="shared" si="13"/>
        <v>27598</v>
      </c>
      <c r="M64" s="24">
        <f t="shared" si="13"/>
        <v>32676</v>
      </c>
      <c r="N64" s="24">
        <f t="shared" si="13"/>
        <v>39319</v>
      </c>
      <c r="O64" s="24">
        <f t="shared" si="13"/>
        <v>45956</v>
      </c>
      <c r="P64" s="24">
        <f t="shared" si="13"/>
        <v>52935</v>
      </c>
      <c r="Q64" s="24">
        <f t="shared" si="13"/>
        <v>62651</v>
      </c>
      <c r="R64" s="24">
        <f t="shared" si="13"/>
        <v>72424</v>
      </c>
      <c r="S64" s="24">
        <f t="shared" si="13"/>
        <v>82180</v>
      </c>
      <c r="T64" s="24">
        <f t="shared" si="13"/>
        <v>91941</v>
      </c>
      <c r="U64" s="24">
        <f t="shared" si="13"/>
        <v>102036</v>
      </c>
      <c r="V64" s="24">
        <f t="shared" si="13"/>
        <v>114885</v>
      </c>
      <c r="W64" s="24">
        <f t="shared" si="13"/>
        <v>127732</v>
      </c>
      <c r="X64" s="24">
        <f t="shared" si="13"/>
        <v>140576</v>
      </c>
      <c r="Y64" s="24">
        <f t="shared" si="13"/>
        <v>153229</v>
      </c>
      <c r="Z64" s="24">
        <f>SUM(B64:Y64)</f>
        <v>1222536</v>
      </c>
    </row>
    <row r="65" ht="15.75" customHeight="1">
      <c r="A65" s="11"/>
    </row>
    <row r="66" ht="15.75" customHeight="1">
      <c r="A66" s="23" t="s">
        <v>81</v>
      </c>
      <c r="B66" s="24">
        <f t="shared" ref="B66:Y66" si="14">B47-B64</f>
        <v>0</v>
      </c>
      <c r="C66" s="24">
        <f t="shared" si="14"/>
        <v>0</v>
      </c>
      <c r="D66" s="24">
        <f t="shared" si="14"/>
        <v>0</v>
      </c>
      <c r="E66" s="24">
        <f t="shared" si="14"/>
        <v>2527</v>
      </c>
      <c r="F66" s="24">
        <f t="shared" si="14"/>
        <v>4337</v>
      </c>
      <c r="G66" s="24">
        <f t="shared" si="14"/>
        <v>6609</v>
      </c>
      <c r="H66" s="24">
        <f t="shared" si="14"/>
        <v>10128</v>
      </c>
      <c r="I66" s="24">
        <f t="shared" si="14"/>
        <v>13697</v>
      </c>
      <c r="J66" s="24">
        <f t="shared" si="14"/>
        <v>17483</v>
      </c>
      <c r="K66" s="24">
        <f t="shared" si="14"/>
        <v>21931</v>
      </c>
      <c r="L66" s="24">
        <f t="shared" si="14"/>
        <v>26125</v>
      </c>
      <c r="M66" s="24">
        <f t="shared" si="14"/>
        <v>30780</v>
      </c>
      <c r="N66" s="24">
        <f t="shared" si="14"/>
        <v>35999</v>
      </c>
      <c r="O66" s="24">
        <f t="shared" si="14"/>
        <v>40921</v>
      </c>
      <c r="P66" s="24">
        <f t="shared" si="14"/>
        <v>46205</v>
      </c>
      <c r="Q66" s="24">
        <f t="shared" si="14"/>
        <v>52813</v>
      </c>
      <c r="R66" s="24">
        <f t="shared" si="14"/>
        <v>59564</v>
      </c>
      <c r="S66" s="24">
        <f t="shared" si="14"/>
        <v>66543</v>
      </c>
      <c r="T66" s="24">
        <f t="shared" si="14"/>
        <v>73296</v>
      </c>
      <c r="U66" s="24">
        <f t="shared" si="14"/>
        <v>80354</v>
      </c>
      <c r="V66" s="24">
        <f t="shared" si="14"/>
        <v>88654</v>
      </c>
      <c r="W66" s="24">
        <f t="shared" si="14"/>
        <v>96888</v>
      </c>
      <c r="X66" s="24">
        <f t="shared" si="14"/>
        <v>105079</v>
      </c>
      <c r="Y66" s="24">
        <f t="shared" si="14"/>
        <v>113007</v>
      </c>
      <c r="Z66" s="24">
        <f>SUM(B66:Y66)</f>
        <v>992940</v>
      </c>
    </row>
    <row r="67" ht="15.75" customHeight="1">
      <c r="A67" s="7" t="s">
        <v>82</v>
      </c>
      <c r="B67" s="25">
        <f t="shared" ref="B67:Z67" si="15">IF(B47&gt;0,B66/B47,0)</f>
        <v>0</v>
      </c>
      <c r="C67" s="25">
        <f t="shared" si="15"/>
        <v>0</v>
      </c>
      <c r="D67" s="25">
        <f t="shared" si="15"/>
        <v>0</v>
      </c>
      <c r="E67" s="25">
        <f t="shared" si="15"/>
        <v>0.5259105099</v>
      </c>
      <c r="F67" s="25">
        <f t="shared" si="15"/>
        <v>0.5162480657</v>
      </c>
      <c r="G67" s="25">
        <f t="shared" si="15"/>
        <v>0.5083064144</v>
      </c>
      <c r="H67" s="25">
        <f t="shared" si="15"/>
        <v>0.5036801273</v>
      </c>
      <c r="I67" s="25">
        <f t="shared" si="15"/>
        <v>0.4974396223</v>
      </c>
      <c r="J67" s="25">
        <f t="shared" si="15"/>
        <v>0.5017074641</v>
      </c>
      <c r="K67" s="25">
        <f t="shared" si="15"/>
        <v>0.4938079798</v>
      </c>
      <c r="L67" s="25">
        <f t="shared" si="15"/>
        <v>0.4862907879</v>
      </c>
      <c r="M67" s="25">
        <f t="shared" si="15"/>
        <v>0.4850605144</v>
      </c>
      <c r="N67" s="25">
        <f t="shared" si="15"/>
        <v>0.4779601158</v>
      </c>
      <c r="O67" s="25">
        <f t="shared" si="15"/>
        <v>0.4710222498</v>
      </c>
      <c r="P67" s="25">
        <f t="shared" si="15"/>
        <v>0.4660580997</v>
      </c>
      <c r="Q67" s="25">
        <f t="shared" si="15"/>
        <v>0.4573979769</v>
      </c>
      <c r="R67" s="25">
        <f t="shared" si="15"/>
        <v>0.45128345</v>
      </c>
      <c r="S67" s="25">
        <f t="shared" si="15"/>
        <v>0.4474291132</v>
      </c>
      <c r="T67" s="25">
        <f t="shared" si="15"/>
        <v>0.4435810381</v>
      </c>
      <c r="U67" s="25">
        <f t="shared" si="15"/>
        <v>0.4405614343</v>
      </c>
      <c r="V67" s="25">
        <f t="shared" si="15"/>
        <v>0.4355627177</v>
      </c>
      <c r="W67" s="25">
        <f t="shared" si="15"/>
        <v>0.4313418217</v>
      </c>
      <c r="X67" s="25">
        <f t="shared" si="15"/>
        <v>0.4277503002</v>
      </c>
      <c r="Y67" s="25">
        <f t="shared" si="15"/>
        <v>0.4244617557</v>
      </c>
      <c r="Z67" s="25">
        <f t="shared" si="15"/>
        <v>0.4481835958</v>
      </c>
    </row>
    <row r="68" ht="15.75" customHeight="1">
      <c r="A68" s="11"/>
    </row>
    <row r="69" ht="15.75" customHeight="1">
      <c r="A69" s="5" t="s">
        <v>83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12" t="s">
        <v>84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26" t="s">
        <v>85</v>
      </c>
      <c r="B71" s="22">
        <f>ROUND(Assumptions!B44*Assumptions!B45,0)</f>
        <v>5208</v>
      </c>
      <c r="C71" s="22">
        <f>ROUND(Assumptions!B44*Assumptions!B45,0)</f>
        <v>5208</v>
      </c>
      <c r="D71" s="22">
        <f>ROUND(Assumptions!B44*Assumptions!B45,0)</f>
        <v>5208</v>
      </c>
      <c r="E71" s="22">
        <f>ROUND(Assumptions!B44*Assumptions!B45,0)</f>
        <v>5208</v>
      </c>
      <c r="F71" s="22">
        <f>ROUND(Assumptions!B44*Assumptions!B45,0)</f>
        <v>5208</v>
      </c>
      <c r="G71" s="22">
        <f>ROUND(Assumptions!B44*Assumptions!B45,0)</f>
        <v>5208</v>
      </c>
      <c r="H71" s="22">
        <f>ROUND(Assumptions!B44*Assumptions!B45,0)</f>
        <v>5208</v>
      </c>
      <c r="I71" s="22">
        <f>ROUND(Assumptions!B44*Assumptions!B45,0)</f>
        <v>5208</v>
      </c>
      <c r="J71" s="22">
        <f>ROUND(Assumptions!B44*Assumptions!B45,0)</f>
        <v>5208</v>
      </c>
      <c r="K71" s="22">
        <f>ROUND(Assumptions!B44*Assumptions!B45,0)</f>
        <v>5208</v>
      </c>
      <c r="L71" s="22">
        <f>ROUND(Assumptions!B44*Assumptions!B45,0)</f>
        <v>5208</v>
      </c>
      <c r="M71" s="22">
        <f>ROUND(Assumptions!B44*Assumptions!B45,0)</f>
        <v>5208</v>
      </c>
      <c r="N71" s="22">
        <f>ROUND(Assumptions!B44*Assumptions!B45,0)</f>
        <v>5208</v>
      </c>
      <c r="O71" s="22">
        <f>ROUND(Assumptions!B44*Assumptions!B45,0)</f>
        <v>5208</v>
      </c>
      <c r="P71" s="22">
        <f>ROUND(Assumptions!B44*Assumptions!B45,0)</f>
        <v>5208</v>
      </c>
      <c r="Q71" s="22">
        <f>ROUND(Assumptions!B44*Assumptions!B45,0)</f>
        <v>5208</v>
      </c>
      <c r="R71" s="22">
        <f>ROUND(Assumptions!B44*Assumptions!B45,0)</f>
        <v>5208</v>
      </c>
      <c r="S71" s="22">
        <f>ROUND(Assumptions!B44*Assumptions!B45,0)</f>
        <v>5208</v>
      </c>
      <c r="T71" s="22">
        <f>ROUND(Assumptions!B44*Assumptions!B45,0)</f>
        <v>5208</v>
      </c>
      <c r="U71" s="22">
        <f>ROUND(Assumptions!B44*Assumptions!B45,0)</f>
        <v>5208</v>
      </c>
      <c r="V71" s="22">
        <f>ROUND(Assumptions!B44*Assumptions!B45,0)</f>
        <v>5208</v>
      </c>
      <c r="W71" s="22">
        <f>ROUND(Assumptions!B44*Assumptions!B45,0)</f>
        <v>5208</v>
      </c>
      <c r="X71" s="22">
        <f>ROUND(Assumptions!B44*Assumptions!B45,0)</f>
        <v>5208</v>
      </c>
      <c r="Y71" s="22">
        <f>ROUND(Assumptions!B44*Assumptions!B45,0)</f>
        <v>5208</v>
      </c>
      <c r="Z71" s="22">
        <f t="shared" ref="Z71:Z78" si="16">SUM(B71:Y71)</f>
        <v>124992</v>
      </c>
    </row>
    <row r="72" ht="15.75" customHeight="1">
      <c r="A72" s="26" t="s">
        <v>86</v>
      </c>
      <c r="B72" s="22">
        <f>ROUND(Assumptions!B44*Assumptions!B45,0)</f>
        <v>5208</v>
      </c>
      <c r="C72" s="22">
        <f>ROUND(Assumptions!B44*Assumptions!B45,0)</f>
        <v>5208</v>
      </c>
      <c r="D72" s="22">
        <f>ROUND(Assumptions!B44*Assumptions!B45,0)</f>
        <v>5208</v>
      </c>
      <c r="E72" s="22">
        <f>ROUND(Assumptions!B44*Assumptions!B45,0)</f>
        <v>5208</v>
      </c>
      <c r="F72" s="22">
        <f>ROUND(Assumptions!B44*Assumptions!B45,0)</f>
        <v>5208</v>
      </c>
      <c r="G72" s="22">
        <f>ROUND(Assumptions!B44*Assumptions!B45,0)</f>
        <v>5208</v>
      </c>
      <c r="H72" s="22">
        <f>ROUND(Assumptions!B44*Assumptions!B45,0)</f>
        <v>5208</v>
      </c>
      <c r="I72" s="22">
        <f>ROUND(Assumptions!B44*Assumptions!B45,0)</f>
        <v>5208</v>
      </c>
      <c r="J72" s="22">
        <f>ROUND(Assumptions!B44*Assumptions!B45,0)</f>
        <v>5208</v>
      </c>
      <c r="K72" s="22">
        <f>ROUND(Assumptions!B44*Assumptions!B45,0)</f>
        <v>5208</v>
      </c>
      <c r="L72" s="22">
        <f>ROUND(Assumptions!B44*Assumptions!B45,0)</f>
        <v>5208</v>
      </c>
      <c r="M72" s="22">
        <f>ROUND(Assumptions!B44*Assumptions!B45,0)</f>
        <v>5208</v>
      </c>
      <c r="N72" s="22">
        <f>ROUND(Assumptions!B44*Assumptions!B45,0)</f>
        <v>5208</v>
      </c>
      <c r="O72" s="22">
        <f>ROUND(Assumptions!B44*Assumptions!B45,0)</f>
        <v>5208</v>
      </c>
      <c r="P72" s="22">
        <f>ROUND(Assumptions!B44*Assumptions!B45,0)</f>
        <v>5208</v>
      </c>
      <c r="Q72" s="22">
        <f>ROUND(Assumptions!B44*Assumptions!B45,0)</f>
        <v>5208</v>
      </c>
      <c r="R72" s="22">
        <f>ROUND(Assumptions!B44*Assumptions!B45,0)</f>
        <v>5208</v>
      </c>
      <c r="S72" s="22">
        <f>ROUND(Assumptions!B44*Assumptions!B45,0)</f>
        <v>5208</v>
      </c>
      <c r="T72" s="22">
        <f>ROUND(Assumptions!B44*Assumptions!B45,0)</f>
        <v>5208</v>
      </c>
      <c r="U72" s="22">
        <f>ROUND(Assumptions!B44*Assumptions!B45,0)</f>
        <v>5208</v>
      </c>
      <c r="V72" s="22">
        <f>ROUND(Assumptions!B44*Assumptions!B45,0)</f>
        <v>5208</v>
      </c>
      <c r="W72" s="22">
        <f>ROUND(Assumptions!B44*Assumptions!B45,0)</f>
        <v>5208</v>
      </c>
      <c r="X72" s="22">
        <f>ROUND(Assumptions!B44*Assumptions!B45,0)</f>
        <v>5208</v>
      </c>
      <c r="Y72" s="22">
        <f>ROUND(Assumptions!B44*Assumptions!B45,0)</f>
        <v>5208</v>
      </c>
      <c r="Z72" s="22">
        <f t="shared" si="16"/>
        <v>124992</v>
      </c>
    </row>
    <row r="73" ht="15.75" customHeight="1">
      <c r="A73" s="21" t="s">
        <v>87</v>
      </c>
      <c r="B73" s="22">
        <f>IF(1&gt;=4,ROUND(Assumptions!B46*Assumptions!B45,0),0)</f>
        <v>0</v>
      </c>
      <c r="C73" s="22">
        <f>IF(2&gt;=4,ROUND(Assumptions!B46*Assumptions!B45,0),0)</f>
        <v>0</v>
      </c>
      <c r="D73" s="22">
        <f>IF(3&gt;=4,ROUND(Assumptions!B46*Assumptions!B45,0),0)</f>
        <v>0</v>
      </c>
      <c r="E73" s="22">
        <f>IF(4&gt;=4,ROUND(Assumptions!B46*Assumptions!B45,0),0)</f>
        <v>1538</v>
      </c>
      <c r="F73" s="22">
        <f>IF(5&gt;=4,ROUND(Assumptions!B46*Assumptions!B45,0),0)</f>
        <v>1538</v>
      </c>
      <c r="G73" s="22">
        <f>IF(6&gt;=4,ROUND(Assumptions!B46*Assumptions!B45,0),0)</f>
        <v>1538</v>
      </c>
      <c r="H73" s="22">
        <f>IF(7&gt;=4,ROUND(Assumptions!B46*Assumptions!B45,0),0)</f>
        <v>1538</v>
      </c>
      <c r="I73" s="22">
        <f>IF(8&gt;=4,ROUND(Assumptions!B46*Assumptions!B45,0),0)</f>
        <v>1538</v>
      </c>
      <c r="J73" s="22">
        <f>IF(9&gt;=4,ROUND(Assumptions!B46*Assumptions!B45,0),0)</f>
        <v>1538</v>
      </c>
      <c r="K73" s="22">
        <f>IF(10&gt;=4,ROUND(Assumptions!B46*Assumptions!B45,0),0)</f>
        <v>1538</v>
      </c>
      <c r="L73" s="22">
        <f>IF(11&gt;=4,ROUND(Assumptions!B46*Assumptions!B45,0),0)</f>
        <v>1538</v>
      </c>
      <c r="M73" s="22">
        <f>IF(12&gt;=4,ROUND(Assumptions!B46*Assumptions!B45,0),0)</f>
        <v>1538</v>
      </c>
      <c r="N73" s="22">
        <f>IF(13&gt;=4,ROUND(Assumptions!B46*Assumptions!B45,0),0)</f>
        <v>1538</v>
      </c>
      <c r="O73" s="22">
        <f>IF(14&gt;=4,ROUND(Assumptions!B46*Assumptions!B45,0),0)</f>
        <v>1538</v>
      </c>
      <c r="P73" s="22">
        <f>IF(15&gt;=4,ROUND(Assumptions!B46*Assumptions!B45,0),0)</f>
        <v>1538</v>
      </c>
      <c r="Q73" s="22">
        <f>IF(16&gt;=4,ROUND(Assumptions!B46*Assumptions!B45,0),0)</f>
        <v>1538</v>
      </c>
      <c r="R73" s="22">
        <f>IF(17&gt;=4,ROUND(Assumptions!B46*Assumptions!B45,0),0)</f>
        <v>1538</v>
      </c>
      <c r="S73" s="22">
        <f>IF(18&gt;=4,ROUND(Assumptions!B46*Assumptions!B45,0),0)</f>
        <v>1538</v>
      </c>
      <c r="T73" s="22">
        <f>IF(19&gt;=4,ROUND(Assumptions!B46*Assumptions!B45,0),0)</f>
        <v>1538</v>
      </c>
      <c r="U73" s="22">
        <f>IF(20&gt;=4,ROUND(Assumptions!B46*Assumptions!B45,0),0)</f>
        <v>1538</v>
      </c>
      <c r="V73" s="22">
        <f>IF(21&gt;=4,ROUND(Assumptions!B46*Assumptions!B45,0),0)</f>
        <v>1538</v>
      </c>
      <c r="W73" s="22">
        <f>IF(22&gt;=4,ROUND(Assumptions!B46*Assumptions!B45,0),0)</f>
        <v>1538</v>
      </c>
      <c r="X73" s="22">
        <f>IF(23&gt;=4,ROUND(Assumptions!B46*Assumptions!B45,0),0)</f>
        <v>1538</v>
      </c>
      <c r="Y73" s="22">
        <f>IF(24&gt;=4,ROUND(Assumptions!B46*Assumptions!B45,0),0)</f>
        <v>1538</v>
      </c>
      <c r="Z73" s="22">
        <f t="shared" si="16"/>
        <v>32298</v>
      </c>
    </row>
    <row r="74" ht="15.75" customHeight="1">
      <c r="A74" s="21" t="s">
        <v>88</v>
      </c>
      <c r="B74" s="22">
        <f>IF(1&gt;=6,ROUND(Assumptions!B47*Assumptions!B45,0),0)</f>
        <v>0</v>
      </c>
      <c r="C74" s="22">
        <f>IF(2&gt;=6,ROUND(Assumptions!B47*Assumptions!B45,0),0)</f>
        <v>0</v>
      </c>
      <c r="D74" s="22">
        <f>IF(3&gt;=6,ROUND(Assumptions!B47*Assumptions!B45,0),0)</f>
        <v>0</v>
      </c>
      <c r="E74" s="22">
        <f>IF(4&gt;=6,ROUND(Assumptions!B47*Assumptions!B45,0),0)</f>
        <v>0</v>
      </c>
      <c r="F74" s="22">
        <f>IF(5&gt;=6,ROUND(Assumptions!B47*Assumptions!B45,0),0)</f>
        <v>0</v>
      </c>
      <c r="G74" s="22">
        <f>IF(6&gt;=6,ROUND(Assumptions!B47*Assumptions!B45,0),0)</f>
        <v>2500</v>
      </c>
      <c r="H74" s="22">
        <f>IF(7&gt;=6,ROUND(Assumptions!B47*Assumptions!B45,0),0)</f>
        <v>2500</v>
      </c>
      <c r="I74" s="22">
        <f>IF(8&gt;=6,ROUND(Assumptions!B47*Assumptions!B45,0),0)</f>
        <v>2500</v>
      </c>
      <c r="J74" s="22">
        <f>IF(9&gt;=6,ROUND(Assumptions!B47*Assumptions!B45,0),0)</f>
        <v>2500</v>
      </c>
      <c r="K74" s="22">
        <f>IF(10&gt;=6,ROUND(Assumptions!B47*Assumptions!B45,0),0)</f>
        <v>2500</v>
      </c>
      <c r="L74" s="22">
        <f>IF(11&gt;=6,ROUND(Assumptions!B47*Assumptions!B45,0),0)</f>
        <v>2500</v>
      </c>
      <c r="M74" s="22">
        <f>IF(12&gt;=6,ROUND(Assumptions!B47*Assumptions!B45,0),0)</f>
        <v>2500</v>
      </c>
      <c r="N74" s="22">
        <f>IF(13&gt;=6,ROUND(Assumptions!B47*Assumptions!B45,0),0)</f>
        <v>2500</v>
      </c>
      <c r="O74" s="22">
        <f>IF(14&gt;=6,ROUND(Assumptions!B47*Assumptions!B45,0),0)</f>
        <v>2500</v>
      </c>
      <c r="P74" s="22">
        <f>IF(15&gt;=6,ROUND(Assumptions!B47*Assumptions!B45,0),0)</f>
        <v>2500</v>
      </c>
      <c r="Q74" s="22">
        <f>IF(16&gt;=6,ROUND(Assumptions!B47*Assumptions!B45,0),0)</f>
        <v>2500</v>
      </c>
      <c r="R74" s="22">
        <f>IF(17&gt;=6,ROUND(Assumptions!B47*Assumptions!B45,0),0)</f>
        <v>2500</v>
      </c>
      <c r="S74" s="22">
        <f>IF(18&gt;=6,ROUND(Assumptions!B47*Assumptions!B45,0),0)</f>
        <v>2500</v>
      </c>
      <c r="T74" s="22">
        <f>IF(19&gt;=6,ROUND(Assumptions!B47*Assumptions!B45,0),0)</f>
        <v>2500</v>
      </c>
      <c r="U74" s="22">
        <f>IF(20&gt;=6,ROUND(Assumptions!B47*Assumptions!B45,0),0)</f>
        <v>2500</v>
      </c>
      <c r="V74" s="22">
        <f>IF(21&gt;=6,ROUND(Assumptions!B47*Assumptions!B45,0),0)</f>
        <v>2500</v>
      </c>
      <c r="W74" s="22">
        <f>IF(22&gt;=6,ROUND(Assumptions!B47*Assumptions!B45,0),0)</f>
        <v>2500</v>
      </c>
      <c r="X74" s="22">
        <f>IF(23&gt;=6,ROUND(Assumptions!B47*Assumptions!B45,0),0)</f>
        <v>2500</v>
      </c>
      <c r="Y74" s="22">
        <f>IF(24&gt;=6,ROUND(Assumptions!B47*Assumptions!B45,0),0)</f>
        <v>2500</v>
      </c>
      <c r="Z74" s="22">
        <f t="shared" si="16"/>
        <v>47500</v>
      </c>
    </row>
    <row r="75" ht="15.75" customHeight="1">
      <c r="A75" s="21" t="s">
        <v>89</v>
      </c>
      <c r="B75" s="22">
        <f>IF(1&gt;=18,ROUND(Assumptions!B48*Assumptions!B45,0),0)</f>
        <v>0</v>
      </c>
      <c r="C75" s="22">
        <f>IF(2&gt;=18,ROUND(Assumptions!B48*Assumptions!B45,0),0)</f>
        <v>0</v>
      </c>
      <c r="D75" s="22">
        <f>IF(3&gt;=18,ROUND(Assumptions!B48*Assumptions!B45,0),0)</f>
        <v>0</v>
      </c>
      <c r="E75" s="22">
        <f>IF(4&gt;=18,ROUND(Assumptions!B48*Assumptions!B45,0),0)</f>
        <v>0</v>
      </c>
      <c r="F75" s="22">
        <f>IF(5&gt;=18,ROUND(Assumptions!B48*Assumptions!B45,0),0)</f>
        <v>0</v>
      </c>
      <c r="G75" s="22">
        <f>IF(6&gt;=18,ROUND(Assumptions!B48*Assumptions!B45,0),0)</f>
        <v>0</v>
      </c>
      <c r="H75" s="22">
        <f>IF(7&gt;=18,ROUND(Assumptions!B48*Assumptions!B45,0),0)</f>
        <v>0</v>
      </c>
      <c r="I75" s="22">
        <f>IF(8&gt;=18,ROUND(Assumptions!B48*Assumptions!B45,0),0)</f>
        <v>0</v>
      </c>
      <c r="J75" s="22">
        <f>IF(9&gt;=18,ROUND(Assumptions!B48*Assumptions!B45,0),0)</f>
        <v>0</v>
      </c>
      <c r="K75" s="22">
        <f>IF(10&gt;=18,ROUND(Assumptions!B48*Assumptions!B45,0),0)</f>
        <v>0</v>
      </c>
      <c r="L75" s="22">
        <f>IF(11&gt;=18,ROUND(Assumptions!B48*Assumptions!B45,0),0)</f>
        <v>0</v>
      </c>
      <c r="M75" s="22">
        <f>IF(12&gt;=18,ROUND(Assumptions!B48*Assumptions!B45,0),0)</f>
        <v>0</v>
      </c>
      <c r="N75" s="22">
        <f>IF(13&gt;=18,ROUND(Assumptions!B48*Assumptions!B45,0),0)</f>
        <v>0</v>
      </c>
      <c r="O75" s="22">
        <f>IF(14&gt;=18,ROUND(Assumptions!B48*Assumptions!B45,0),0)</f>
        <v>0</v>
      </c>
      <c r="P75" s="22">
        <f>IF(15&gt;=18,ROUND(Assumptions!B48*Assumptions!B45,0),0)</f>
        <v>0</v>
      </c>
      <c r="Q75" s="22">
        <f>IF(16&gt;=18,ROUND(Assumptions!B48*Assumptions!B45,0),0)</f>
        <v>0</v>
      </c>
      <c r="R75" s="22">
        <f>IF(17&gt;=18,ROUND(Assumptions!B48*Assumptions!B45,0),0)</f>
        <v>0</v>
      </c>
      <c r="S75" s="22">
        <f>IF(18&gt;=18,ROUND(Assumptions!B48*Assumptions!B45,0),0)</f>
        <v>8125</v>
      </c>
      <c r="T75" s="22">
        <f>IF(19&gt;=18,ROUND(Assumptions!B48*Assumptions!B45,0),0)</f>
        <v>8125</v>
      </c>
      <c r="U75" s="22">
        <f>IF(20&gt;=18,ROUND(Assumptions!B48*Assumptions!B45,0),0)</f>
        <v>8125</v>
      </c>
      <c r="V75" s="22">
        <f>IF(21&gt;=18,ROUND(Assumptions!B48*Assumptions!B45,0),0)</f>
        <v>8125</v>
      </c>
      <c r="W75" s="22">
        <f>IF(22&gt;=18,ROUND(Assumptions!B48*Assumptions!B45,0),0)</f>
        <v>8125</v>
      </c>
      <c r="X75" s="22">
        <f>IF(23&gt;=18,ROUND(Assumptions!B48*Assumptions!B45,0),0)</f>
        <v>8125</v>
      </c>
      <c r="Y75" s="22">
        <f>IF(24&gt;=18,ROUND(Assumptions!B48*Assumptions!B45,0),0)</f>
        <v>8125</v>
      </c>
      <c r="Z75" s="22">
        <f t="shared" si="16"/>
        <v>56875</v>
      </c>
    </row>
    <row r="76" ht="15.75" customHeight="1">
      <c r="A76" s="21" t="s">
        <v>90</v>
      </c>
      <c r="B76" s="22">
        <f>ROUND((B71+B72+B73+B74+B75)*Assumptions!B49,0)</f>
        <v>52</v>
      </c>
      <c r="C76" s="22">
        <f>ROUND((C71+C72+C73+C74+C75)*Assumptions!B49,0)</f>
        <v>52</v>
      </c>
      <c r="D76" s="22">
        <f>ROUND((D71+D72+D73+D74+D75)*Assumptions!B49,0)</f>
        <v>52</v>
      </c>
      <c r="E76" s="22">
        <f>ROUND((E71+E72+E73+E74+E75)*Assumptions!B49,0)</f>
        <v>60</v>
      </c>
      <c r="F76" s="22">
        <f>ROUND((F71+F72+F73+F74+F75)*Assumptions!B49,0)</f>
        <v>60</v>
      </c>
      <c r="G76" s="22">
        <f>ROUND((G71+G72+G73+G74+G75)*Assumptions!B49,0)</f>
        <v>72</v>
      </c>
      <c r="H76" s="22">
        <f>ROUND((H71+H72+H73+H74+H75)*Assumptions!B49,0)</f>
        <v>72</v>
      </c>
      <c r="I76" s="22">
        <f>ROUND((I71+I72+I73+I74+I75)*Assumptions!B49,0)</f>
        <v>72</v>
      </c>
      <c r="J76" s="22">
        <f>ROUND((J71+J72+J73+J74+J75)*Assumptions!B49,0)</f>
        <v>72</v>
      </c>
      <c r="K76" s="22">
        <f>ROUND((K71+K72+K73+K74+K75)*Assumptions!B49,0)</f>
        <v>72</v>
      </c>
      <c r="L76" s="22">
        <f>ROUND((L71+L72+L73+L74+L75)*Assumptions!B49,0)</f>
        <v>72</v>
      </c>
      <c r="M76" s="22">
        <f>ROUND((M71+M72+M73+M74+M75)*Assumptions!B49,0)</f>
        <v>72</v>
      </c>
      <c r="N76" s="22">
        <f>ROUND((N71+N72+N73+N74+N75)*Assumptions!B49,0)</f>
        <v>72</v>
      </c>
      <c r="O76" s="22">
        <f>ROUND((O71+O72+O73+O74+O75)*Assumptions!B49,0)</f>
        <v>72</v>
      </c>
      <c r="P76" s="22">
        <f>ROUND((P71+P72+P73+P74+P75)*Assumptions!B49,0)</f>
        <v>72</v>
      </c>
      <c r="Q76" s="22">
        <f>ROUND((Q71+Q72+Q73+Q74+Q75)*Assumptions!B49,0)</f>
        <v>72</v>
      </c>
      <c r="R76" s="22">
        <f>ROUND((R71+R72+R73+R74+R75)*Assumptions!B49,0)</f>
        <v>72</v>
      </c>
      <c r="S76" s="22">
        <f>ROUND((S71+S72+S73+S74+S75)*Assumptions!B49,0)</f>
        <v>113</v>
      </c>
      <c r="T76" s="22">
        <f>ROUND((T71+T72+T73+T74+T75)*Assumptions!B49,0)</f>
        <v>113</v>
      </c>
      <c r="U76" s="22">
        <f>ROUND((U71+U72+U73+U74+U75)*Assumptions!B49,0)</f>
        <v>113</v>
      </c>
      <c r="V76" s="22">
        <f>ROUND((V71+V72+V73+V74+V75)*Assumptions!B49,0)</f>
        <v>113</v>
      </c>
      <c r="W76" s="22">
        <f>ROUND((W71+W72+W73+W74+W75)*Assumptions!B49,0)</f>
        <v>113</v>
      </c>
      <c r="X76" s="22">
        <f>ROUND((X71+X72+X73+X74+X75)*Assumptions!B49,0)</f>
        <v>113</v>
      </c>
      <c r="Y76" s="22">
        <f>ROUND((Y71+Y72+Y73+Y74+Y75)*Assumptions!B49,0)</f>
        <v>113</v>
      </c>
      <c r="Z76" s="22">
        <f t="shared" si="16"/>
        <v>1931</v>
      </c>
    </row>
    <row r="77" ht="15.75" customHeight="1">
      <c r="A77" s="21" t="s">
        <v>91</v>
      </c>
      <c r="B77" s="22">
        <f>ROUND('Growth Curves'!B11*Assumptions!B50,0)</f>
        <v>25</v>
      </c>
      <c r="C77" s="22">
        <f>ROUND('Growth Curves'!C11*Assumptions!B50,0)</f>
        <v>25</v>
      </c>
      <c r="D77" s="22">
        <f>ROUND('Growth Curves'!D11*Assumptions!B50,0)</f>
        <v>25</v>
      </c>
      <c r="E77" s="22">
        <f>ROUND('Growth Curves'!E11*Assumptions!B50,0)</f>
        <v>25</v>
      </c>
      <c r="F77" s="22">
        <f>ROUND('Growth Curves'!F11*Assumptions!B50,0)</f>
        <v>39</v>
      </c>
      <c r="G77" s="22">
        <f>ROUND('Growth Curves'!G11*Assumptions!B50,0)</f>
        <v>39</v>
      </c>
      <c r="H77" s="22">
        <f>ROUND('Growth Curves'!H11*Assumptions!B50,0)</f>
        <v>39</v>
      </c>
      <c r="I77" s="22">
        <f>ROUND('Growth Curves'!I11*Assumptions!B50,0)</f>
        <v>39</v>
      </c>
      <c r="J77" s="22">
        <f>ROUND('Growth Curves'!J11*Assumptions!B50,0)</f>
        <v>39</v>
      </c>
      <c r="K77" s="22">
        <f>ROUND('Growth Curves'!K11*Assumptions!B50,0)</f>
        <v>39</v>
      </c>
      <c r="L77" s="22">
        <f>ROUND('Growth Curves'!L11*Assumptions!B50,0)</f>
        <v>39</v>
      </c>
      <c r="M77" s="22">
        <f>ROUND('Growth Curves'!M11*Assumptions!B50,0)</f>
        <v>39</v>
      </c>
      <c r="N77" s="22">
        <f>ROUND('Growth Curves'!N11*Assumptions!B50,0)</f>
        <v>39</v>
      </c>
      <c r="O77" s="22">
        <f>ROUND('Growth Curves'!O11*Assumptions!B50,0)</f>
        <v>39</v>
      </c>
      <c r="P77" s="22">
        <f>ROUND('Growth Curves'!P11*Assumptions!B50,0)</f>
        <v>39</v>
      </c>
      <c r="Q77" s="22">
        <f>ROUND('Growth Curves'!Q11*Assumptions!B50,0)</f>
        <v>39</v>
      </c>
      <c r="R77" s="22">
        <f>ROUND('Growth Curves'!R11*Assumptions!B50,0)</f>
        <v>39</v>
      </c>
      <c r="S77" s="22">
        <f>ROUND('Growth Curves'!S11*Assumptions!B50,0)</f>
        <v>39</v>
      </c>
      <c r="T77" s="22">
        <f>ROUND('Growth Curves'!T11*Assumptions!B50,0)</f>
        <v>39</v>
      </c>
      <c r="U77" s="22">
        <f>ROUND('Growth Curves'!U11*Assumptions!B50,0)</f>
        <v>39</v>
      </c>
      <c r="V77" s="22">
        <f>ROUND('Growth Curves'!V11*Assumptions!B50,0)</f>
        <v>39</v>
      </c>
      <c r="W77" s="22">
        <f>ROUND('Growth Curves'!W11*Assumptions!B50,0)</f>
        <v>39</v>
      </c>
      <c r="X77" s="22">
        <f>ROUND('Growth Curves'!X11*Assumptions!B50,0)</f>
        <v>39</v>
      </c>
      <c r="Y77" s="22">
        <f>ROUND('Growth Curves'!Y11*Assumptions!B50,0)</f>
        <v>39</v>
      </c>
      <c r="Z77" s="22">
        <f t="shared" si="16"/>
        <v>880</v>
      </c>
    </row>
    <row r="78" ht="15.75" customHeight="1">
      <c r="A78" s="27" t="s">
        <v>92</v>
      </c>
      <c r="B78" s="28">
        <f t="shared" ref="B78:Y78" si="17">B71+B72+B73+B74+B75+B76+B77</f>
        <v>10493</v>
      </c>
      <c r="C78" s="28">
        <f t="shared" si="17"/>
        <v>10493</v>
      </c>
      <c r="D78" s="28">
        <f t="shared" si="17"/>
        <v>10493</v>
      </c>
      <c r="E78" s="28">
        <f t="shared" si="17"/>
        <v>12039</v>
      </c>
      <c r="F78" s="28">
        <f t="shared" si="17"/>
        <v>12053</v>
      </c>
      <c r="G78" s="28">
        <f t="shared" si="17"/>
        <v>14565</v>
      </c>
      <c r="H78" s="28">
        <f t="shared" si="17"/>
        <v>14565</v>
      </c>
      <c r="I78" s="28">
        <f t="shared" si="17"/>
        <v>14565</v>
      </c>
      <c r="J78" s="28">
        <f t="shared" si="17"/>
        <v>14565</v>
      </c>
      <c r="K78" s="28">
        <f t="shared" si="17"/>
        <v>14565</v>
      </c>
      <c r="L78" s="28">
        <f t="shared" si="17"/>
        <v>14565</v>
      </c>
      <c r="M78" s="28">
        <f t="shared" si="17"/>
        <v>14565</v>
      </c>
      <c r="N78" s="28">
        <f t="shared" si="17"/>
        <v>14565</v>
      </c>
      <c r="O78" s="28">
        <f t="shared" si="17"/>
        <v>14565</v>
      </c>
      <c r="P78" s="28">
        <f t="shared" si="17"/>
        <v>14565</v>
      </c>
      <c r="Q78" s="28">
        <f t="shared" si="17"/>
        <v>14565</v>
      </c>
      <c r="R78" s="28">
        <f t="shared" si="17"/>
        <v>14565</v>
      </c>
      <c r="S78" s="28">
        <f t="shared" si="17"/>
        <v>22731</v>
      </c>
      <c r="T78" s="28">
        <f t="shared" si="17"/>
        <v>22731</v>
      </c>
      <c r="U78" s="28">
        <f t="shared" si="17"/>
        <v>22731</v>
      </c>
      <c r="V78" s="28">
        <f t="shared" si="17"/>
        <v>22731</v>
      </c>
      <c r="W78" s="28">
        <f t="shared" si="17"/>
        <v>22731</v>
      </c>
      <c r="X78" s="28">
        <f t="shared" si="17"/>
        <v>22731</v>
      </c>
      <c r="Y78" s="28">
        <f t="shared" si="17"/>
        <v>22731</v>
      </c>
      <c r="Z78" s="28">
        <f t="shared" si="16"/>
        <v>389468</v>
      </c>
    </row>
    <row r="79" ht="15.75" customHeight="1">
      <c r="A79" s="12" t="s">
        <v>93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21" t="s">
        <v>94</v>
      </c>
      <c r="B80" s="22">
        <f>IF(1&gt;=5,Assumptions!B136,0)</f>
        <v>0</v>
      </c>
      <c r="C80" s="22">
        <f>IF(2&gt;=5,Assumptions!B136,0)</f>
        <v>0</v>
      </c>
      <c r="D80" s="22">
        <f>IF(3&gt;=5,Assumptions!B136,0)</f>
        <v>0</v>
      </c>
      <c r="E80" s="22">
        <f>IF(4&gt;=5,Assumptions!B136,0)</f>
        <v>0</v>
      </c>
      <c r="F80" s="22">
        <f>IF(5&gt;=5,Assumptions!B136,0)</f>
        <v>300</v>
      </c>
      <c r="G80" s="22">
        <f>IF(6&gt;=5,Assumptions!B136,0)</f>
        <v>300</v>
      </c>
      <c r="H80" s="22">
        <f>IF(7&gt;=5,Assumptions!B136,0)</f>
        <v>300</v>
      </c>
      <c r="I80" s="22">
        <f>IF(8&gt;=5,Assumptions!B136,0)</f>
        <v>300</v>
      </c>
      <c r="J80" s="22">
        <f>IF(9&gt;=5,Assumptions!B136,0)</f>
        <v>300</v>
      </c>
      <c r="K80" s="22">
        <f>IF(10&gt;=5,Assumptions!B136,0)</f>
        <v>300</v>
      </c>
      <c r="L80" s="22">
        <f>IF(11&gt;=5,Assumptions!B136,0)</f>
        <v>300</v>
      </c>
      <c r="M80" s="22">
        <f>IF(12&gt;=5,Assumptions!B136,0)</f>
        <v>300</v>
      </c>
      <c r="N80" s="22">
        <f>IF(13&gt;=5,Assumptions!B136,0)</f>
        <v>300</v>
      </c>
      <c r="O80" s="22">
        <f>IF(14&gt;=5,Assumptions!B136,0)</f>
        <v>300</v>
      </c>
      <c r="P80" s="22">
        <f>IF(15&gt;=5,Assumptions!B136,0)</f>
        <v>300</v>
      </c>
      <c r="Q80" s="22">
        <f>IF(16&gt;=5,Assumptions!B136,0)</f>
        <v>300</v>
      </c>
      <c r="R80" s="22">
        <f>IF(17&gt;=5,Assumptions!B136,0)</f>
        <v>300</v>
      </c>
      <c r="S80" s="22">
        <f>IF(18&gt;=5,Assumptions!B136,0)</f>
        <v>300</v>
      </c>
      <c r="T80" s="22">
        <f>IF(19&gt;=5,Assumptions!B136,0)</f>
        <v>300</v>
      </c>
      <c r="U80" s="22">
        <f>IF(20&gt;=5,Assumptions!B136,0)</f>
        <v>300</v>
      </c>
      <c r="V80" s="22">
        <f>IF(21&gt;=5,Assumptions!B136,0)</f>
        <v>300</v>
      </c>
      <c r="W80" s="22">
        <f>IF(22&gt;=5,Assumptions!B136,0)</f>
        <v>300</v>
      </c>
      <c r="X80" s="22">
        <f>IF(23&gt;=5,Assumptions!B136,0)</f>
        <v>300</v>
      </c>
      <c r="Y80" s="22">
        <f>IF(24&gt;=5,Assumptions!B136,0)</f>
        <v>300</v>
      </c>
      <c r="Z80" s="22">
        <f t="shared" ref="Z80:Z81" si="19">SUM(B80:Y80)</f>
        <v>6000</v>
      </c>
    </row>
    <row r="81" ht="15.75" customHeight="1">
      <c r="A81" s="27" t="s">
        <v>95</v>
      </c>
      <c r="B81" s="28">
        <f t="shared" ref="B81:Y81" si="18">B80</f>
        <v>0</v>
      </c>
      <c r="C81" s="28">
        <f t="shared" si="18"/>
        <v>0</v>
      </c>
      <c r="D81" s="28">
        <f t="shared" si="18"/>
        <v>0</v>
      </c>
      <c r="E81" s="28">
        <f t="shared" si="18"/>
        <v>0</v>
      </c>
      <c r="F81" s="28">
        <f t="shared" si="18"/>
        <v>300</v>
      </c>
      <c r="G81" s="28">
        <f t="shared" si="18"/>
        <v>300</v>
      </c>
      <c r="H81" s="28">
        <f t="shared" si="18"/>
        <v>300</v>
      </c>
      <c r="I81" s="28">
        <f t="shared" si="18"/>
        <v>300</v>
      </c>
      <c r="J81" s="28">
        <f t="shared" si="18"/>
        <v>300</v>
      </c>
      <c r="K81" s="28">
        <f t="shared" si="18"/>
        <v>300</v>
      </c>
      <c r="L81" s="28">
        <f t="shared" si="18"/>
        <v>300</v>
      </c>
      <c r="M81" s="28">
        <f t="shared" si="18"/>
        <v>300</v>
      </c>
      <c r="N81" s="28">
        <f t="shared" si="18"/>
        <v>300</v>
      </c>
      <c r="O81" s="28">
        <f t="shared" si="18"/>
        <v>300</v>
      </c>
      <c r="P81" s="28">
        <f t="shared" si="18"/>
        <v>300</v>
      </c>
      <c r="Q81" s="28">
        <f t="shared" si="18"/>
        <v>300</v>
      </c>
      <c r="R81" s="28">
        <f t="shared" si="18"/>
        <v>300</v>
      </c>
      <c r="S81" s="28">
        <f t="shared" si="18"/>
        <v>300</v>
      </c>
      <c r="T81" s="28">
        <f t="shared" si="18"/>
        <v>300</v>
      </c>
      <c r="U81" s="28">
        <f t="shared" si="18"/>
        <v>300</v>
      </c>
      <c r="V81" s="28">
        <f t="shared" si="18"/>
        <v>300</v>
      </c>
      <c r="W81" s="28">
        <f t="shared" si="18"/>
        <v>300</v>
      </c>
      <c r="X81" s="28">
        <f t="shared" si="18"/>
        <v>300</v>
      </c>
      <c r="Y81" s="28">
        <f t="shared" si="18"/>
        <v>300</v>
      </c>
      <c r="Z81" s="28">
        <f t="shared" si="19"/>
        <v>6000</v>
      </c>
    </row>
    <row r="82" ht="15.75" customHeight="1">
      <c r="A82" s="12" t="s">
        <v>96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21" t="s">
        <v>97</v>
      </c>
      <c r="B83" s="22">
        <f>'Growth Curves'!B10</f>
        <v>50</v>
      </c>
      <c r="C83" s="22">
        <f>'Growth Curves'!C10</f>
        <v>50</v>
      </c>
      <c r="D83" s="22">
        <f>'Growth Curves'!D10</f>
        <v>100</v>
      </c>
      <c r="E83" s="22">
        <f>'Growth Curves'!E10</f>
        <v>200</v>
      </c>
      <c r="F83" s="22">
        <f>'Growth Curves'!F10</f>
        <v>400</v>
      </c>
      <c r="G83" s="22">
        <f>'Growth Curves'!G10</f>
        <v>600</v>
      </c>
      <c r="H83" s="22">
        <f>'Growth Curves'!H10</f>
        <v>800</v>
      </c>
      <c r="I83" s="22">
        <f>'Growth Curves'!I10</f>
        <v>800</v>
      </c>
      <c r="J83" s="22">
        <f>'Growth Curves'!J10</f>
        <v>1000</v>
      </c>
      <c r="K83" s="22">
        <f>'Growth Curves'!K10</f>
        <v>1200</v>
      </c>
      <c r="L83" s="22">
        <f>'Growth Curves'!L10</f>
        <v>1400</v>
      </c>
      <c r="M83" s="22">
        <f>'Growth Curves'!M10</f>
        <v>1400</v>
      </c>
      <c r="N83" s="22">
        <f>'Growth Curves'!N10</f>
        <v>1800</v>
      </c>
      <c r="O83" s="22">
        <f>'Growth Curves'!O10</f>
        <v>1800</v>
      </c>
      <c r="P83" s="22">
        <f>'Growth Curves'!P10</f>
        <v>2000</v>
      </c>
      <c r="Q83" s="22">
        <f>'Growth Curves'!Q10</f>
        <v>2000</v>
      </c>
      <c r="R83" s="22">
        <f>'Growth Curves'!R10</f>
        <v>2200</v>
      </c>
      <c r="S83" s="22">
        <f>'Growth Curves'!S10</f>
        <v>2200</v>
      </c>
      <c r="T83" s="22">
        <f>'Growth Curves'!T10</f>
        <v>2500</v>
      </c>
      <c r="U83" s="22">
        <f>'Growth Curves'!U10</f>
        <v>2500</v>
      </c>
      <c r="V83" s="22">
        <f>'Growth Curves'!V10</f>
        <v>2800</v>
      </c>
      <c r="W83" s="22">
        <f>'Growth Curves'!W10</f>
        <v>2800</v>
      </c>
      <c r="X83" s="22">
        <f>'Growth Curves'!X10</f>
        <v>3000</v>
      </c>
      <c r="Y83" s="22">
        <f>'Growth Curves'!Y10</f>
        <v>3000</v>
      </c>
      <c r="Z83" s="22">
        <f t="shared" ref="Z83:Z86" si="20">SUM(B83:Y83)</f>
        <v>36600</v>
      </c>
    </row>
    <row r="84" ht="15.75" customHeight="1">
      <c r="A84" s="21" t="s">
        <v>98</v>
      </c>
      <c r="B84" s="22">
        <f>Assumptions!B86</f>
        <v>150</v>
      </c>
      <c r="C84" s="22">
        <f>Assumptions!B86</f>
        <v>150</v>
      </c>
      <c r="D84" s="22">
        <f>Assumptions!B86</f>
        <v>150</v>
      </c>
      <c r="E84" s="22">
        <f>Assumptions!B86</f>
        <v>150</v>
      </c>
      <c r="F84" s="22">
        <f>Assumptions!B86</f>
        <v>150</v>
      </c>
      <c r="G84" s="22">
        <f>Assumptions!B86</f>
        <v>150</v>
      </c>
      <c r="H84" s="22">
        <f>Assumptions!B86</f>
        <v>150</v>
      </c>
      <c r="I84" s="22">
        <f>Assumptions!B86</f>
        <v>150</v>
      </c>
      <c r="J84" s="22">
        <f>Assumptions!B86</f>
        <v>150</v>
      </c>
      <c r="K84" s="22">
        <f>Assumptions!B86</f>
        <v>150</v>
      </c>
      <c r="L84" s="22">
        <f>Assumptions!B86</f>
        <v>150</v>
      </c>
      <c r="M84" s="22">
        <f>Assumptions!B86</f>
        <v>150</v>
      </c>
      <c r="N84" s="22">
        <f>Assumptions!B86</f>
        <v>150</v>
      </c>
      <c r="O84" s="22">
        <f>Assumptions!B86</f>
        <v>150</v>
      </c>
      <c r="P84" s="22">
        <f>Assumptions!B86</f>
        <v>150</v>
      </c>
      <c r="Q84" s="22">
        <f>Assumptions!B86</f>
        <v>150</v>
      </c>
      <c r="R84" s="22">
        <f>Assumptions!B86</f>
        <v>150</v>
      </c>
      <c r="S84" s="22">
        <f>Assumptions!B86</f>
        <v>150</v>
      </c>
      <c r="T84" s="22">
        <f>Assumptions!B86</f>
        <v>150</v>
      </c>
      <c r="U84" s="22">
        <f>Assumptions!B86</f>
        <v>150</v>
      </c>
      <c r="V84" s="22">
        <f>Assumptions!B86</f>
        <v>150</v>
      </c>
      <c r="W84" s="22">
        <f>Assumptions!B86</f>
        <v>150</v>
      </c>
      <c r="X84" s="22">
        <f>Assumptions!B86</f>
        <v>150</v>
      </c>
      <c r="Y84" s="22">
        <f>Assumptions!B86</f>
        <v>150</v>
      </c>
      <c r="Z84" s="22">
        <f t="shared" si="20"/>
        <v>3600</v>
      </c>
    </row>
    <row r="85" ht="15.75" customHeight="1">
      <c r="A85" s="21" t="s">
        <v>99</v>
      </c>
      <c r="B85" s="22">
        <f>IF(1&gt;=7,Assumptions!B87,0)</f>
        <v>0</v>
      </c>
      <c r="C85" s="22">
        <f>IF(2&gt;=7,Assumptions!B87,0)</f>
        <v>0</v>
      </c>
      <c r="D85" s="22">
        <f>IF(3&gt;=7,Assumptions!B87,0)</f>
        <v>0</v>
      </c>
      <c r="E85" s="22">
        <f>IF(4&gt;=7,Assumptions!B87,0)</f>
        <v>0</v>
      </c>
      <c r="F85" s="22">
        <f>IF(5&gt;=7,Assumptions!B87,0)</f>
        <v>0</v>
      </c>
      <c r="G85" s="22">
        <f>IF(6&gt;=7,Assumptions!B87,0)</f>
        <v>0</v>
      </c>
      <c r="H85" s="22">
        <f>IF(7&gt;=7,Assumptions!B87,0)</f>
        <v>200</v>
      </c>
      <c r="I85" s="22">
        <f>IF(8&gt;=7,Assumptions!B87,0)</f>
        <v>200</v>
      </c>
      <c r="J85" s="22">
        <f>IF(9&gt;=7,Assumptions!B87,0)</f>
        <v>200</v>
      </c>
      <c r="K85" s="22">
        <f>IF(10&gt;=7,Assumptions!B87,0)</f>
        <v>200</v>
      </c>
      <c r="L85" s="22">
        <f>IF(11&gt;=7,Assumptions!B87,0)</f>
        <v>200</v>
      </c>
      <c r="M85" s="22">
        <f>IF(12&gt;=7,Assumptions!B87,0)</f>
        <v>200</v>
      </c>
      <c r="N85" s="22">
        <f>IF(13&gt;=7,Assumptions!B87,0)</f>
        <v>200</v>
      </c>
      <c r="O85" s="22">
        <f>IF(14&gt;=7,Assumptions!B87,0)</f>
        <v>200</v>
      </c>
      <c r="P85" s="22">
        <f>IF(15&gt;=7,Assumptions!B87,0)</f>
        <v>200</v>
      </c>
      <c r="Q85" s="22">
        <f>IF(16&gt;=7,Assumptions!B87,0)</f>
        <v>200</v>
      </c>
      <c r="R85" s="22">
        <f>IF(17&gt;=7,Assumptions!B87,0)</f>
        <v>200</v>
      </c>
      <c r="S85" s="22">
        <f>IF(18&gt;=7,Assumptions!B87,0)</f>
        <v>200</v>
      </c>
      <c r="T85" s="22">
        <f>IF(19&gt;=7,Assumptions!B87,0)</f>
        <v>200</v>
      </c>
      <c r="U85" s="22">
        <f>IF(20&gt;=7,Assumptions!B87,0)</f>
        <v>200</v>
      </c>
      <c r="V85" s="22">
        <f>IF(21&gt;=7,Assumptions!B87,0)</f>
        <v>200</v>
      </c>
      <c r="W85" s="22">
        <f>IF(22&gt;=7,Assumptions!B87,0)</f>
        <v>200</v>
      </c>
      <c r="X85" s="22">
        <f>IF(23&gt;=7,Assumptions!B87,0)</f>
        <v>200</v>
      </c>
      <c r="Y85" s="22">
        <f>IF(24&gt;=7,Assumptions!B87,0)</f>
        <v>200</v>
      </c>
      <c r="Z85" s="22">
        <f t="shared" si="20"/>
        <v>3600</v>
      </c>
    </row>
    <row r="86" ht="15.75" customHeight="1">
      <c r="A86" s="27" t="s">
        <v>100</v>
      </c>
      <c r="B86" s="28">
        <f t="shared" ref="B86:Y86" si="21">B83+B84+B85</f>
        <v>200</v>
      </c>
      <c r="C86" s="28">
        <f t="shared" si="21"/>
        <v>200</v>
      </c>
      <c r="D86" s="28">
        <f t="shared" si="21"/>
        <v>250</v>
      </c>
      <c r="E86" s="28">
        <f t="shared" si="21"/>
        <v>350</v>
      </c>
      <c r="F86" s="28">
        <f t="shared" si="21"/>
        <v>550</v>
      </c>
      <c r="G86" s="28">
        <f t="shared" si="21"/>
        <v>750</v>
      </c>
      <c r="H86" s="28">
        <f t="shared" si="21"/>
        <v>1150</v>
      </c>
      <c r="I86" s="28">
        <f t="shared" si="21"/>
        <v>1150</v>
      </c>
      <c r="J86" s="28">
        <f t="shared" si="21"/>
        <v>1350</v>
      </c>
      <c r="K86" s="28">
        <f t="shared" si="21"/>
        <v>1550</v>
      </c>
      <c r="L86" s="28">
        <f t="shared" si="21"/>
        <v>1750</v>
      </c>
      <c r="M86" s="28">
        <f t="shared" si="21"/>
        <v>1750</v>
      </c>
      <c r="N86" s="28">
        <f t="shared" si="21"/>
        <v>2150</v>
      </c>
      <c r="O86" s="28">
        <f t="shared" si="21"/>
        <v>2150</v>
      </c>
      <c r="P86" s="28">
        <f t="shared" si="21"/>
        <v>2350</v>
      </c>
      <c r="Q86" s="28">
        <f t="shared" si="21"/>
        <v>2350</v>
      </c>
      <c r="R86" s="28">
        <f t="shared" si="21"/>
        <v>2550</v>
      </c>
      <c r="S86" s="28">
        <f t="shared" si="21"/>
        <v>2550</v>
      </c>
      <c r="T86" s="28">
        <f t="shared" si="21"/>
        <v>2850</v>
      </c>
      <c r="U86" s="28">
        <f t="shared" si="21"/>
        <v>2850</v>
      </c>
      <c r="V86" s="28">
        <f t="shared" si="21"/>
        <v>3150</v>
      </c>
      <c r="W86" s="28">
        <f t="shared" si="21"/>
        <v>3150</v>
      </c>
      <c r="X86" s="28">
        <f t="shared" si="21"/>
        <v>3350</v>
      </c>
      <c r="Y86" s="28">
        <f t="shared" si="21"/>
        <v>3350</v>
      </c>
      <c r="Z86" s="28">
        <f t="shared" si="20"/>
        <v>43800</v>
      </c>
    </row>
    <row r="87" ht="15.75" customHeight="1">
      <c r="A87" s="12" t="s">
        <v>101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21" t="s">
        <v>102</v>
      </c>
      <c r="B88" s="22">
        <f>IF(1&lt;=3,Assumptions!B61,Assumptions!B62)</f>
        <v>750</v>
      </c>
      <c r="C88" s="22">
        <f>IF(2&lt;=3,Assumptions!B61,Assumptions!B62)</f>
        <v>750</v>
      </c>
      <c r="D88" s="22">
        <f>IF(3&lt;=3,Assumptions!B61,Assumptions!B62)</f>
        <v>750</v>
      </c>
      <c r="E88" s="22">
        <f>IF(4&lt;=3,Assumptions!B61,Assumptions!B62)</f>
        <v>1500</v>
      </c>
      <c r="F88" s="22">
        <f>IF(5&lt;=3,Assumptions!B61,Assumptions!B62)</f>
        <v>1500</v>
      </c>
      <c r="G88" s="22">
        <f>IF(6&lt;=3,Assumptions!B61,Assumptions!B62)</f>
        <v>1500</v>
      </c>
      <c r="H88" s="22">
        <f>IF(7&lt;=3,Assumptions!B61,Assumptions!B62)</f>
        <v>1500</v>
      </c>
      <c r="I88" s="22">
        <f>IF(8&lt;=3,Assumptions!B61,Assumptions!B62)</f>
        <v>1500</v>
      </c>
      <c r="J88" s="22">
        <f>IF(9&lt;=3,Assumptions!B61,Assumptions!B62)</f>
        <v>1500</v>
      </c>
      <c r="K88" s="22">
        <f>IF(10&lt;=3,Assumptions!B61,Assumptions!B62)</f>
        <v>1500</v>
      </c>
      <c r="L88" s="22">
        <f>IF(11&lt;=3,Assumptions!B61,Assumptions!B62)</f>
        <v>1500</v>
      </c>
      <c r="M88" s="22">
        <f>IF(12&lt;=3,Assumptions!B61,Assumptions!B62)</f>
        <v>1500</v>
      </c>
      <c r="N88" s="22">
        <f>IF(13&lt;=3,Assumptions!B61,Assumptions!B62)</f>
        <v>1500</v>
      </c>
      <c r="O88" s="22">
        <f>IF(14&lt;=3,Assumptions!B61,Assumptions!B62)</f>
        <v>1500</v>
      </c>
      <c r="P88" s="22">
        <f>IF(15&lt;=3,Assumptions!B61,Assumptions!B62)</f>
        <v>1500</v>
      </c>
      <c r="Q88" s="22">
        <f>IF(16&lt;=3,Assumptions!B61,Assumptions!B62)</f>
        <v>1500</v>
      </c>
      <c r="R88" s="22">
        <f>IF(17&lt;=3,Assumptions!B61,Assumptions!B62)</f>
        <v>1500</v>
      </c>
      <c r="S88" s="22">
        <f>IF(18&lt;=3,Assumptions!B61,Assumptions!B62)</f>
        <v>1500</v>
      </c>
      <c r="T88" s="22">
        <f>IF(19&lt;=3,Assumptions!B61,Assumptions!B62)</f>
        <v>1500</v>
      </c>
      <c r="U88" s="22">
        <f>IF(20&lt;=3,Assumptions!B61,Assumptions!B62)</f>
        <v>1500</v>
      </c>
      <c r="V88" s="22">
        <f>IF(21&lt;=3,Assumptions!B61,Assumptions!B62)</f>
        <v>1500</v>
      </c>
      <c r="W88" s="22">
        <f>IF(22&lt;=3,Assumptions!B61,Assumptions!B62)</f>
        <v>1500</v>
      </c>
      <c r="X88" s="22">
        <f>IF(23&lt;=3,Assumptions!B61,Assumptions!B62)</f>
        <v>1500</v>
      </c>
      <c r="Y88" s="22">
        <f>IF(24&lt;=3,Assumptions!B61,Assumptions!B62)</f>
        <v>1500</v>
      </c>
      <c r="Z88" s="22">
        <f t="shared" ref="Z88:Z111" si="22">SUM(B88:Y88)</f>
        <v>33750</v>
      </c>
    </row>
    <row r="89" ht="15.75" customHeight="1">
      <c r="A89" s="21" t="s">
        <v>103</v>
      </c>
      <c r="B89" s="22">
        <f>IF(1&gt;=4,Assumptions!B63,0)</f>
        <v>0</v>
      </c>
      <c r="C89" s="22">
        <f>IF(2&gt;=4,Assumptions!B63,0)</f>
        <v>0</v>
      </c>
      <c r="D89" s="22">
        <f>IF(3&gt;=4,Assumptions!B63,0)</f>
        <v>0</v>
      </c>
      <c r="E89" s="22">
        <f>IF(4&gt;=4,Assumptions!B63,0)</f>
        <v>0</v>
      </c>
      <c r="F89" s="22">
        <f>IF(5&gt;=4,Assumptions!B63,0)</f>
        <v>0</v>
      </c>
      <c r="G89" s="22">
        <f>IF(6&gt;=4,Assumptions!B63,0)</f>
        <v>0</v>
      </c>
      <c r="H89" s="22">
        <f>IF(7&gt;=4,Assumptions!B63,0)</f>
        <v>0</v>
      </c>
      <c r="I89" s="22">
        <f>IF(8&gt;=4,Assumptions!B63,0)</f>
        <v>0</v>
      </c>
      <c r="J89" s="22">
        <f>IF(9&gt;=4,Assumptions!B63,0)</f>
        <v>0</v>
      </c>
      <c r="K89" s="22">
        <f>IF(10&gt;=4,Assumptions!B63,0)</f>
        <v>0</v>
      </c>
      <c r="L89" s="22">
        <f>IF(11&gt;=4,Assumptions!B63,0)</f>
        <v>0</v>
      </c>
      <c r="M89" s="22">
        <f>IF(12&gt;=4,Assumptions!B63,0)</f>
        <v>0</v>
      </c>
      <c r="N89" s="22">
        <f>IF(13&gt;=4,Assumptions!B63,0)</f>
        <v>0</v>
      </c>
      <c r="O89" s="22">
        <f>IF(14&gt;=4,Assumptions!B63,0)</f>
        <v>0</v>
      </c>
      <c r="P89" s="22">
        <f>IF(15&gt;=4,Assumptions!B63,0)</f>
        <v>0</v>
      </c>
      <c r="Q89" s="22">
        <f>IF(16&gt;=4,Assumptions!B63,0)</f>
        <v>0</v>
      </c>
      <c r="R89" s="22">
        <f>IF(17&gt;=4,Assumptions!B63,0)</f>
        <v>0</v>
      </c>
      <c r="S89" s="22">
        <f>IF(18&gt;=4,Assumptions!B63,0)</f>
        <v>0</v>
      </c>
      <c r="T89" s="22">
        <f>IF(19&gt;=4,Assumptions!B63,0)</f>
        <v>0</v>
      </c>
      <c r="U89" s="22">
        <f>IF(20&gt;=4,Assumptions!B63,0)</f>
        <v>0</v>
      </c>
      <c r="V89" s="22">
        <f>IF(21&gt;=4,Assumptions!B63,0)</f>
        <v>0</v>
      </c>
      <c r="W89" s="22">
        <f>IF(22&gt;=4,Assumptions!B63,0)</f>
        <v>0</v>
      </c>
      <c r="X89" s="22">
        <f>IF(23&gt;=4,Assumptions!B63,0)</f>
        <v>0</v>
      </c>
      <c r="Y89" s="22">
        <f>IF(24&gt;=4,Assumptions!B63,0)</f>
        <v>0</v>
      </c>
      <c r="Z89" s="22">
        <f t="shared" si="22"/>
        <v>0</v>
      </c>
    </row>
    <row r="90" ht="15.75" customHeight="1">
      <c r="A90" s="21" t="s">
        <v>104</v>
      </c>
      <c r="B90" s="22">
        <f>Assumptions!B64</f>
        <v>400</v>
      </c>
      <c r="C90" s="22">
        <f>Assumptions!B64</f>
        <v>400</v>
      </c>
      <c r="D90" s="22">
        <f>Assumptions!B64</f>
        <v>400</v>
      </c>
      <c r="E90" s="22">
        <f>Assumptions!B64</f>
        <v>400</v>
      </c>
      <c r="F90" s="22">
        <f>Assumptions!B64</f>
        <v>400</v>
      </c>
      <c r="G90" s="22">
        <f>Assumptions!B64</f>
        <v>400</v>
      </c>
      <c r="H90" s="22">
        <f>Assumptions!B64</f>
        <v>400</v>
      </c>
      <c r="I90" s="22">
        <f>Assumptions!B64</f>
        <v>400</v>
      </c>
      <c r="J90" s="22">
        <f>Assumptions!B64</f>
        <v>400</v>
      </c>
      <c r="K90" s="22">
        <f>Assumptions!B64</f>
        <v>400</v>
      </c>
      <c r="L90" s="22">
        <f>Assumptions!B64</f>
        <v>400</v>
      </c>
      <c r="M90" s="22">
        <f>Assumptions!B64</f>
        <v>400</v>
      </c>
      <c r="N90" s="22">
        <f>Assumptions!B64</f>
        <v>400</v>
      </c>
      <c r="O90" s="22">
        <f>Assumptions!B64</f>
        <v>400</v>
      </c>
      <c r="P90" s="22">
        <f>Assumptions!B64</f>
        <v>400</v>
      </c>
      <c r="Q90" s="22">
        <f>Assumptions!B64</f>
        <v>400</v>
      </c>
      <c r="R90" s="22">
        <f>Assumptions!B64</f>
        <v>400</v>
      </c>
      <c r="S90" s="22">
        <f>Assumptions!B64</f>
        <v>400</v>
      </c>
      <c r="T90" s="22">
        <f>Assumptions!B64</f>
        <v>400</v>
      </c>
      <c r="U90" s="22">
        <f>Assumptions!B64</f>
        <v>400</v>
      </c>
      <c r="V90" s="22">
        <f>Assumptions!B64</f>
        <v>400</v>
      </c>
      <c r="W90" s="22">
        <f>Assumptions!B64</f>
        <v>400</v>
      </c>
      <c r="X90" s="22">
        <f>Assumptions!B64</f>
        <v>400</v>
      </c>
      <c r="Y90" s="22">
        <f>Assumptions!B64</f>
        <v>400</v>
      </c>
      <c r="Z90" s="22">
        <f t="shared" si="22"/>
        <v>9600</v>
      </c>
    </row>
    <row r="91" ht="15.75" customHeight="1">
      <c r="A91" s="21" t="s">
        <v>105</v>
      </c>
      <c r="B91" s="22">
        <f>Assumptions!B65</f>
        <v>200</v>
      </c>
      <c r="C91" s="22">
        <f>Assumptions!B65</f>
        <v>200</v>
      </c>
      <c r="D91" s="22">
        <f>Assumptions!B65</f>
        <v>200</v>
      </c>
      <c r="E91" s="22">
        <f>Assumptions!B65</f>
        <v>200</v>
      </c>
      <c r="F91" s="22">
        <f>Assumptions!B65</f>
        <v>200</v>
      </c>
      <c r="G91" s="22">
        <f>Assumptions!B65</f>
        <v>200</v>
      </c>
      <c r="H91" s="22">
        <f>Assumptions!B65</f>
        <v>200</v>
      </c>
      <c r="I91" s="22">
        <f>Assumptions!B65</f>
        <v>200</v>
      </c>
      <c r="J91" s="22">
        <f>Assumptions!B65</f>
        <v>200</v>
      </c>
      <c r="K91" s="22">
        <f>Assumptions!B65</f>
        <v>200</v>
      </c>
      <c r="L91" s="22">
        <f>Assumptions!B65</f>
        <v>200</v>
      </c>
      <c r="M91" s="22">
        <f>Assumptions!B65</f>
        <v>200</v>
      </c>
      <c r="N91" s="22">
        <f>Assumptions!B65</f>
        <v>200</v>
      </c>
      <c r="O91" s="22">
        <f>Assumptions!B65</f>
        <v>200</v>
      </c>
      <c r="P91" s="22">
        <f>Assumptions!B65</f>
        <v>200</v>
      </c>
      <c r="Q91" s="22">
        <f>Assumptions!B65</f>
        <v>200</v>
      </c>
      <c r="R91" s="22">
        <f>Assumptions!B65</f>
        <v>200</v>
      </c>
      <c r="S91" s="22">
        <f>Assumptions!B65</f>
        <v>200</v>
      </c>
      <c r="T91" s="22">
        <f>Assumptions!B65</f>
        <v>200</v>
      </c>
      <c r="U91" s="22">
        <f>Assumptions!B65</f>
        <v>200</v>
      </c>
      <c r="V91" s="22">
        <f>Assumptions!B65</f>
        <v>200</v>
      </c>
      <c r="W91" s="22">
        <f>Assumptions!B65</f>
        <v>200</v>
      </c>
      <c r="X91" s="22">
        <f>Assumptions!B65</f>
        <v>200</v>
      </c>
      <c r="Y91" s="22">
        <f>Assumptions!B65</f>
        <v>200</v>
      </c>
      <c r="Z91" s="22">
        <f t="shared" si="22"/>
        <v>4800</v>
      </c>
    </row>
    <row r="92" ht="15.75" customHeight="1">
      <c r="A92" s="21" t="s">
        <v>106</v>
      </c>
      <c r="B92" s="22">
        <f>Assumptions!B66</f>
        <v>100</v>
      </c>
      <c r="C92" s="22">
        <f>Assumptions!B66</f>
        <v>100</v>
      </c>
      <c r="D92" s="22">
        <f>Assumptions!B66</f>
        <v>100</v>
      </c>
      <c r="E92" s="22">
        <f>Assumptions!B66</f>
        <v>100</v>
      </c>
      <c r="F92" s="22">
        <f>Assumptions!B66</f>
        <v>100</v>
      </c>
      <c r="G92" s="22">
        <f>Assumptions!B66</f>
        <v>100</v>
      </c>
      <c r="H92" s="22">
        <f>Assumptions!B66</f>
        <v>100</v>
      </c>
      <c r="I92" s="22">
        <f>Assumptions!B66</f>
        <v>100</v>
      </c>
      <c r="J92" s="22">
        <f>Assumptions!B66</f>
        <v>100</v>
      </c>
      <c r="K92" s="22">
        <f>Assumptions!B66</f>
        <v>100</v>
      </c>
      <c r="L92" s="22">
        <f>Assumptions!B66</f>
        <v>100</v>
      </c>
      <c r="M92" s="22">
        <f>Assumptions!B66</f>
        <v>100</v>
      </c>
      <c r="N92" s="22">
        <f>Assumptions!B66</f>
        <v>100</v>
      </c>
      <c r="O92" s="22">
        <f>Assumptions!B66</f>
        <v>100</v>
      </c>
      <c r="P92" s="22">
        <f>Assumptions!B66</f>
        <v>100</v>
      </c>
      <c r="Q92" s="22">
        <f>Assumptions!B66</f>
        <v>100</v>
      </c>
      <c r="R92" s="22">
        <f>Assumptions!B66</f>
        <v>100</v>
      </c>
      <c r="S92" s="22">
        <f>Assumptions!B66</f>
        <v>100</v>
      </c>
      <c r="T92" s="22">
        <f>Assumptions!B66</f>
        <v>100</v>
      </c>
      <c r="U92" s="22">
        <f>Assumptions!B66</f>
        <v>100</v>
      </c>
      <c r="V92" s="22">
        <f>Assumptions!B66</f>
        <v>100</v>
      </c>
      <c r="W92" s="22">
        <f>Assumptions!B66</f>
        <v>100</v>
      </c>
      <c r="X92" s="22">
        <f>Assumptions!B66</f>
        <v>100</v>
      </c>
      <c r="Y92" s="22">
        <f>Assumptions!B66</f>
        <v>100</v>
      </c>
      <c r="Z92" s="22">
        <f t="shared" si="22"/>
        <v>2400</v>
      </c>
    </row>
    <row r="93" ht="15.75" customHeight="1">
      <c r="A93" s="21" t="s">
        <v>107</v>
      </c>
      <c r="B93" s="22">
        <f>Assumptions!B67</f>
        <v>150</v>
      </c>
      <c r="C93" s="22">
        <f>Assumptions!B67</f>
        <v>150</v>
      </c>
      <c r="D93" s="22">
        <f>Assumptions!B67</f>
        <v>150</v>
      </c>
      <c r="E93" s="22">
        <f>Assumptions!B67</f>
        <v>150</v>
      </c>
      <c r="F93" s="22">
        <f>Assumptions!B67</f>
        <v>150</v>
      </c>
      <c r="G93" s="22">
        <f>Assumptions!B67</f>
        <v>150</v>
      </c>
      <c r="H93" s="22">
        <f>Assumptions!B67</f>
        <v>150</v>
      </c>
      <c r="I93" s="22">
        <f>Assumptions!B67</f>
        <v>150</v>
      </c>
      <c r="J93" s="22">
        <f>Assumptions!B67</f>
        <v>150</v>
      </c>
      <c r="K93" s="22">
        <f>Assumptions!B67</f>
        <v>150</v>
      </c>
      <c r="L93" s="22">
        <f>Assumptions!B67</f>
        <v>150</v>
      </c>
      <c r="M93" s="22">
        <f>Assumptions!B67</f>
        <v>150</v>
      </c>
      <c r="N93" s="22">
        <f>Assumptions!B67</f>
        <v>150</v>
      </c>
      <c r="O93" s="22">
        <f>Assumptions!B67</f>
        <v>150</v>
      </c>
      <c r="P93" s="22">
        <f>Assumptions!B67</f>
        <v>150</v>
      </c>
      <c r="Q93" s="22">
        <f>Assumptions!B67</f>
        <v>150</v>
      </c>
      <c r="R93" s="22">
        <f>Assumptions!B67</f>
        <v>150</v>
      </c>
      <c r="S93" s="22">
        <f>Assumptions!B67</f>
        <v>150</v>
      </c>
      <c r="T93" s="22">
        <f>Assumptions!B67</f>
        <v>150</v>
      </c>
      <c r="U93" s="22">
        <f>Assumptions!B67</f>
        <v>150</v>
      </c>
      <c r="V93" s="22">
        <f>Assumptions!B67</f>
        <v>150</v>
      </c>
      <c r="W93" s="22">
        <f>Assumptions!B67</f>
        <v>150</v>
      </c>
      <c r="X93" s="22">
        <f>Assumptions!B67</f>
        <v>150</v>
      </c>
      <c r="Y93" s="22">
        <f>Assumptions!B67</f>
        <v>150</v>
      </c>
      <c r="Z93" s="22">
        <f t="shared" si="22"/>
        <v>3600</v>
      </c>
    </row>
    <row r="94" ht="15.75" customHeight="1">
      <c r="A94" s="21" t="s">
        <v>108</v>
      </c>
      <c r="B94" s="22">
        <f>Assumptions!B68</f>
        <v>100</v>
      </c>
      <c r="C94" s="22">
        <f>Assumptions!B68</f>
        <v>100</v>
      </c>
      <c r="D94" s="22">
        <f>Assumptions!B68</f>
        <v>100</v>
      </c>
      <c r="E94" s="22">
        <f>Assumptions!B68</f>
        <v>100</v>
      </c>
      <c r="F94" s="22">
        <f>Assumptions!B68</f>
        <v>100</v>
      </c>
      <c r="G94" s="22">
        <f>Assumptions!B68</f>
        <v>100</v>
      </c>
      <c r="H94" s="22">
        <f>Assumptions!B68</f>
        <v>100</v>
      </c>
      <c r="I94" s="22">
        <f>Assumptions!B68</f>
        <v>100</v>
      </c>
      <c r="J94" s="22">
        <f>Assumptions!B68</f>
        <v>100</v>
      </c>
      <c r="K94" s="22">
        <f>Assumptions!B68</f>
        <v>100</v>
      </c>
      <c r="L94" s="22">
        <f>Assumptions!B68</f>
        <v>100</v>
      </c>
      <c r="M94" s="22">
        <f>Assumptions!B68</f>
        <v>100</v>
      </c>
      <c r="N94" s="22">
        <f>Assumptions!B68</f>
        <v>100</v>
      </c>
      <c r="O94" s="22">
        <f>Assumptions!B68</f>
        <v>100</v>
      </c>
      <c r="P94" s="22">
        <f>Assumptions!B68</f>
        <v>100</v>
      </c>
      <c r="Q94" s="22">
        <f>Assumptions!B68</f>
        <v>100</v>
      </c>
      <c r="R94" s="22">
        <f>Assumptions!B68</f>
        <v>100</v>
      </c>
      <c r="S94" s="22">
        <f>Assumptions!B68</f>
        <v>100</v>
      </c>
      <c r="T94" s="22">
        <f>Assumptions!B68</f>
        <v>100</v>
      </c>
      <c r="U94" s="22">
        <f>Assumptions!B68</f>
        <v>100</v>
      </c>
      <c r="V94" s="22">
        <f>Assumptions!B68</f>
        <v>100</v>
      </c>
      <c r="W94" s="22">
        <f>Assumptions!B68</f>
        <v>100</v>
      </c>
      <c r="X94" s="22">
        <f>Assumptions!B68</f>
        <v>100</v>
      </c>
      <c r="Y94" s="22">
        <f>Assumptions!B68</f>
        <v>100</v>
      </c>
      <c r="Z94" s="22">
        <f t="shared" si="22"/>
        <v>2400</v>
      </c>
    </row>
    <row r="95" ht="15.75" customHeight="1">
      <c r="A95" s="21" t="s">
        <v>109</v>
      </c>
      <c r="B95" s="22">
        <f>IF(1&gt;=4,Assumptions!B69,0)</f>
        <v>0</v>
      </c>
      <c r="C95" s="22">
        <f>IF(2&gt;=4,Assumptions!B69,0)</f>
        <v>0</v>
      </c>
      <c r="D95" s="22">
        <f>IF(3&gt;=4,Assumptions!B69,0)</f>
        <v>0</v>
      </c>
      <c r="E95" s="22">
        <f>IF(4&gt;=4,Assumptions!B69,0)</f>
        <v>100</v>
      </c>
      <c r="F95" s="22">
        <f>IF(5&gt;=4,Assumptions!B69,0)</f>
        <v>100</v>
      </c>
      <c r="G95" s="22">
        <f>IF(6&gt;=4,Assumptions!B69,0)</f>
        <v>100</v>
      </c>
      <c r="H95" s="22">
        <f>IF(7&gt;=4,Assumptions!B69,0)</f>
        <v>100</v>
      </c>
      <c r="I95" s="22">
        <f>IF(8&gt;=4,Assumptions!B69,0)</f>
        <v>100</v>
      </c>
      <c r="J95" s="22">
        <f>IF(9&gt;=4,Assumptions!B69,0)</f>
        <v>100</v>
      </c>
      <c r="K95" s="22">
        <f>IF(10&gt;=4,Assumptions!B69,0)</f>
        <v>100</v>
      </c>
      <c r="L95" s="22">
        <f>IF(11&gt;=4,Assumptions!B69,0)</f>
        <v>100</v>
      </c>
      <c r="M95" s="22">
        <f>IF(12&gt;=4,Assumptions!B69,0)</f>
        <v>100</v>
      </c>
      <c r="N95" s="22">
        <f>IF(13&gt;=4,Assumptions!B69,0)</f>
        <v>100</v>
      </c>
      <c r="O95" s="22">
        <f>IF(14&gt;=4,Assumptions!B69,0)</f>
        <v>100</v>
      </c>
      <c r="P95" s="22">
        <f>IF(15&gt;=4,Assumptions!B69,0)</f>
        <v>100</v>
      </c>
      <c r="Q95" s="22">
        <f>IF(16&gt;=4,Assumptions!B69,0)</f>
        <v>100</v>
      </c>
      <c r="R95" s="22">
        <f>IF(17&gt;=4,Assumptions!B69,0)</f>
        <v>100</v>
      </c>
      <c r="S95" s="22">
        <f>IF(18&gt;=4,Assumptions!B69,0)</f>
        <v>100</v>
      </c>
      <c r="T95" s="22">
        <f>IF(19&gt;=4,Assumptions!B69,0)</f>
        <v>100</v>
      </c>
      <c r="U95" s="22">
        <f>IF(20&gt;=4,Assumptions!B69,0)</f>
        <v>100</v>
      </c>
      <c r="V95" s="22">
        <f>IF(21&gt;=4,Assumptions!B69,0)</f>
        <v>100</v>
      </c>
      <c r="W95" s="22">
        <f>IF(22&gt;=4,Assumptions!B69,0)</f>
        <v>100</v>
      </c>
      <c r="X95" s="22">
        <f>IF(23&gt;=4,Assumptions!B69,0)</f>
        <v>100</v>
      </c>
      <c r="Y95" s="22">
        <f>IF(24&gt;=4,Assumptions!B69,0)</f>
        <v>100</v>
      </c>
      <c r="Z95" s="22">
        <f t="shared" si="22"/>
        <v>2100</v>
      </c>
    </row>
    <row r="96" ht="15.75" customHeight="1">
      <c r="A96" s="21" t="s">
        <v>110</v>
      </c>
      <c r="B96" s="22">
        <f>IF(1&gt;=4,Assumptions!B70,0)</f>
        <v>0</v>
      </c>
      <c r="C96" s="22">
        <f>IF(2&gt;=4,Assumptions!B70,0)</f>
        <v>0</v>
      </c>
      <c r="D96" s="22">
        <f>IF(3&gt;=4,Assumptions!B70,0)</f>
        <v>0</v>
      </c>
      <c r="E96" s="22">
        <f>IF(4&gt;=4,Assumptions!B70,0)</f>
        <v>500</v>
      </c>
      <c r="F96" s="22">
        <f>IF(5&gt;=4,Assumptions!B70,0)</f>
        <v>500</v>
      </c>
      <c r="G96" s="22">
        <f>IF(6&gt;=4,Assumptions!B70,0)</f>
        <v>500</v>
      </c>
      <c r="H96" s="22">
        <f>IF(7&gt;=4,Assumptions!B70,0)</f>
        <v>500</v>
      </c>
      <c r="I96" s="22">
        <f>IF(8&gt;=4,Assumptions!B70,0)</f>
        <v>500</v>
      </c>
      <c r="J96" s="22">
        <f>IF(9&gt;=4,Assumptions!B70,0)</f>
        <v>500</v>
      </c>
      <c r="K96" s="22">
        <f>IF(10&gt;=4,Assumptions!B70,0)</f>
        <v>500</v>
      </c>
      <c r="L96" s="22">
        <f>IF(11&gt;=4,Assumptions!B70,0)</f>
        <v>500</v>
      </c>
      <c r="M96" s="22">
        <f>IF(12&gt;=4,Assumptions!B70,0)</f>
        <v>500</v>
      </c>
      <c r="N96" s="22">
        <f>IF(13&gt;=4,Assumptions!B70,0)</f>
        <v>500</v>
      </c>
      <c r="O96" s="22">
        <f>IF(14&gt;=4,Assumptions!B70,0)</f>
        <v>500</v>
      </c>
      <c r="P96" s="22">
        <f>IF(15&gt;=4,Assumptions!B70,0)</f>
        <v>500</v>
      </c>
      <c r="Q96" s="22">
        <f>IF(16&gt;=4,Assumptions!B70,0)</f>
        <v>500</v>
      </c>
      <c r="R96" s="22">
        <f>IF(17&gt;=4,Assumptions!B70,0)</f>
        <v>500</v>
      </c>
      <c r="S96" s="22">
        <f>IF(18&gt;=4,Assumptions!B70,0)</f>
        <v>500</v>
      </c>
      <c r="T96" s="22">
        <f>IF(19&gt;=4,Assumptions!B70,0)</f>
        <v>500</v>
      </c>
      <c r="U96" s="22">
        <f>IF(20&gt;=4,Assumptions!B70,0)</f>
        <v>500</v>
      </c>
      <c r="V96" s="22">
        <f>IF(21&gt;=4,Assumptions!B70,0)</f>
        <v>500</v>
      </c>
      <c r="W96" s="22">
        <f>IF(22&gt;=4,Assumptions!B70,0)</f>
        <v>500</v>
      </c>
      <c r="X96" s="22">
        <f>IF(23&gt;=4,Assumptions!B70,0)</f>
        <v>500</v>
      </c>
      <c r="Y96" s="22">
        <f>IF(24&gt;=4,Assumptions!B70,0)</f>
        <v>500</v>
      </c>
      <c r="Z96" s="22">
        <f t="shared" si="22"/>
        <v>10500</v>
      </c>
    </row>
    <row r="97" ht="15.75" customHeight="1">
      <c r="A97" s="21" t="s">
        <v>111</v>
      </c>
      <c r="B97" s="22">
        <f>IF(1&gt;=4,Assumptions!B71,0)</f>
        <v>0</v>
      </c>
      <c r="C97" s="22">
        <f>IF(2&gt;=4,Assumptions!B71,0)</f>
        <v>0</v>
      </c>
      <c r="D97" s="22">
        <f>IF(3&gt;=4,Assumptions!B71,0)</f>
        <v>0</v>
      </c>
      <c r="E97" s="22">
        <f>IF(4&gt;=4,Assumptions!B71,0)</f>
        <v>300</v>
      </c>
      <c r="F97" s="22">
        <f>IF(5&gt;=4,Assumptions!B71,0)</f>
        <v>300</v>
      </c>
      <c r="G97" s="22">
        <f>IF(6&gt;=4,Assumptions!B71,0)</f>
        <v>300</v>
      </c>
      <c r="H97" s="22">
        <f>IF(7&gt;=4,Assumptions!B71,0)</f>
        <v>300</v>
      </c>
      <c r="I97" s="22">
        <f>IF(8&gt;=4,Assumptions!B71,0)</f>
        <v>300</v>
      </c>
      <c r="J97" s="22">
        <f>IF(9&gt;=4,Assumptions!B71,0)</f>
        <v>300</v>
      </c>
      <c r="K97" s="22">
        <f>IF(10&gt;=4,Assumptions!B71,0)</f>
        <v>300</v>
      </c>
      <c r="L97" s="22">
        <f>IF(11&gt;=4,Assumptions!B71,0)</f>
        <v>300</v>
      </c>
      <c r="M97" s="22">
        <f>IF(12&gt;=4,Assumptions!B71,0)</f>
        <v>300</v>
      </c>
      <c r="N97" s="22">
        <f>IF(13&gt;=4,Assumptions!B71,0)</f>
        <v>300</v>
      </c>
      <c r="O97" s="22">
        <f>IF(14&gt;=4,Assumptions!B71,0)</f>
        <v>300</v>
      </c>
      <c r="P97" s="22">
        <f>IF(15&gt;=4,Assumptions!B71,0)</f>
        <v>300</v>
      </c>
      <c r="Q97" s="22">
        <f>IF(16&gt;=4,Assumptions!B71,0)</f>
        <v>300</v>
      </c>
      <c r="R97" s="22">
        <f>IF(17&gt;=4,Assumptions!B71,0)</f>
        <v>300</v>
      </c>
      <c r="S97" s="22">
        <f>IF(18&gt;=4,Assumptions!B71,0)</f>
        <v>300</v>
      </c>
      <c r="T97" s="22">
        <f>IF(19&gt;=4,Assumptions!B71,0)</f>
        <v>300</v>
      </c>
      <c r="U97" s="22">
        <f>IF(20&gt;=4,Assumptions!B71,0)</f>
        <v>300</v>
      </c>
      <c r="V97" s="22">
        <f>IF(21&gt;=4,Assumptions!B71,0)</f>
        <v>300</v>
      </c>
      <c r="W97" s="22">
        <f>IF(22&gt;=4,Assumptions!B71,0)</f>
        <v>300</v>
      </c>
      <c r="X97" s="22">
        <f>IF(23&gt;=4,Assumptions!B71,0)</f>
        <v>300</v>
      </c>
      <c r="Y97" s="22">
        <f>IF(24&gt;=4,Assumptions!B71,0)</f>
        <v>300</v>
      </c>
      <c r="Z97" s="22">
        <f t="shared" si="22"/>
        <v>6300</v>
      </c>
    </row>
    <row r="98" ht="15.75" customHeight="1">
      <c r="A98" s="21" t="s">
        <v>112</v>
      </c>
      <c r="B98" s="22">
        <f>IF(1&gt;=4,Assumptions!B72,0)</f>
        <v>0</v>
      </c>
      <c r="C98" s="22">
        <f>IF(2&gt;=4,Assumptions!B72,0)</f>
        <v>0</v>
      </c>
      <c r="D98" s="22">
        <f>IF(3&gt;=4,Assumptions!B72,0)</f>
        <v>0</v>
      </c>
      <c r="E98" s="22">
        <f>IF(4&gt;=4,Assumptions!B72,0)</f>
        <v>200</v>
      </c>
      <c r="F98" s="22">
        <f>IF(5&gt;=4,Assumptions!B72,0)</f>
        <v>200</v>
      </c>
      <c r="G98" s="22">
        <f>IF(6&gt;=4,Assumptions!B72,0)</f>
        <v>200</v>
      </c>
      <c r="H98" s="22">
        <f>IF(7&gt;=4,Assumptions!B72,0)</f>
        <v>200</v>
      </c>
      <c r="I98" s="22">
        <f>IF(8&gt;=4,Assumptions!B72,0)</f>
        <v>200</v>
      </c>
      <c r="J98" s="22">
        <f>IF(9&gt;=4,Assumptions!B72,0)</f>
        <v>200</v>
      </c>
      <c r="K98" s="22">
        <f>IF(10&gt;=4,Assumptions!B72,0)</f>
        <v>200</v>
      </c>
      <c r="L98" s="22">
        <f>IF(11&gt;=4,Assumptions!B72,0)</f>
        <v>200</v>
      </c>
      <c r="M98" s="22">
        <f>IF(12&gt;=4,Assumptions!B72,0)</f>
        <v>200</v>
      </c>
      <c r="N98" s="22">
        <f>IF(13&gt;=4,Assumptions!B72,0)</f>
        <v>200</v>
      </c>
      <c r="O98" s="22">
        <f>IF(14&gt;=4,Assumptions!B72,0)</f>
        <v>200</v>
      </c>
      <c r="P98" s="22">
        <f>IF(15&gt;=4,Assumptions!B72,0)</f>
        <v>200</v>
      </c>
      <c r="Q98" s="22">
        <f>IF(16&gt;=4,Assumptions!B72,0)</f>
        <v>200</v>
      </c>
      <c r="R98" s="22">
        <f>IF(17&gt;=4,Assumptions!B72,0)</f>
        <v>200</v>
      </c>
      <c r="S98" s="22">
        <f>IF(18&gt;=4,Assumptions!B72,0)</f>
        <v>200</v>
      </c>
      <c r="T98" s="22">
        <f>IF(19&gt;=4,Assumptions!B72,0)</f>
        <v>200</v>
      </c>
      <c r="U98" s="22">
        <f>IF(20&gt;=4,Assumptions!B72,0)</f>
        <v>200</v>
      </c>
      <c r="V98" s="22">
        <f>IF(21&gt;=4,Assumptions!B72,0)</f>
        <v>200</v>
      </c>
      <c r="W98" s="22">
        <f>IF(22&gt;=4,Assumptions!B72,0)</f>
        <v>200</v>
      </c>
      <c r="X98" s="22">
        <f>IF(23&gt;=4,Assumptions!B72,0)</f>
        <v>200</v>
      </c>
      <c r="Y98" s="22">
        <f>IF(24&gt;=4,Assumptions!B72,0)</f>
        <v>200</v>
      </c>
      <c r="Z98" s="22">
        <f t="shared" si="22"/>
        <v>4200</v>
      </c>
    </row>
    <row r="99" ht="15.75" customHeight="1">
      <c r="A99" s="21" t="s">
        <v>113</v>
      </c>
      <c r="B99" s="22">
        <f>IF(1&gt;=4,Assumptions!B73,0)</f>
        <v>0</v>
      </c>
      <c r="C99" s="22">
        <f>IF(2&gt;=4,Assumptions!B73,0)</f>
        <v>0</v>
      </c>
      <c r="D99" s="22">
        <f>IF(3&gt;=4,Assumptions!B73,0)</f>
        <v>0</v>
      </c>
      <c r="E99" s="22">
        <f>IF(4&gt;=4,Assumptions!B73,0)</f>
        <v>120</v>
      </c>
      <c r="F99" s="22">
        <f>IF(5&gt;=4,Assumptions!B73,0)</f>
        <v>120</v>
      </c>
      <c r="G99" s="22">
        <f>IF(6&gt;=4,Assumptions!B73,0)</f>
        <v>120</v>
      </c>
      <c r="H99" s="22">
        <f>IF(7&gt;=4,Assumptions!B73,0)</f>
        <v>120</v>
      </c>
      <c r="I99" s="22">
        <f>IF(8&gt;=4,Assumptions!B73,0)</f>
        <v>120</v>
      </c>
      <c r="J99" s="22">
        <f>IF(9&gt;=4,Assumptions!B73,0)</f>
        <v>120</v>
      </c>
      <c r="K99" s="22">
        <f>IF(10&gt;=4,Assumptions!B73,0)</f>
        <v>120</v>
      </c>
      <c r="L99" s="22">
        <f>IF(11&gt;=4,Assumptions!B73,0)</f>
        <v>120</v>
      </c>
      <c r="M99" s="22">
        <f>IF(12&gt;=4,Assumptions!B73,0)</f>
        <v>120</v>
      </c>
      <c r="N99" s="22">
        <f>IF(13&gt;=4,Assumptions!B73,0)</f>
        <v>120</v>
      </c>
      <c r="O99" s="22">
        <f>IF(14&gt;=4,Assumptions!B73,0)</f>
        <v>120</v>
      </c>
      <c r="P99" s="22">
        <f>IF(15&gt;=4,Assumptions!B73,0)</f>
        <v>120</v>
      </c>
      <c r="Q99" s="22">
        <f>IF(16&gt;=4,Assumptions!B73,0)</f>
        <v>120</v>
      </c>
      <c r="R99" s="22">
        <f>IF(17&gt;=4,Assumptions!B73,0)</f>
        <v>120</v>
      </c>
      <c r="S99" s="22">
        <f>IF(18&gt;=4,Assumptions!B73,0)</f>
        <v>120</v>
      </c>
      <c r="T99" s="22">
        <f>IF(19&gt;=4,Assumptions!B73,0)</f>
        <v>120</v>
      </c>
      <c r="U99" s="22">
        <f>IF(20&gt;=4,Assumptions!B73,0)</f>
        <v>120</v>
      </c>
      <c r="V99" s="22">
        <f>IF(21&gt;=4,Assumptions!B73,0)</f>
        <v>120</v>
      </c>
      <c r="W99" s="22">
        <f>IF(22&gt;=4,Assumptions!B73,0)</f>
        <v>120</v>
      </c>
      <c r="X99" s="22">
        <f>IF(23&gt;=4,Assumptions!B73,0)</f>
        <v>120</v>
      </c>
      <c r="Y99" s="22">
        <f>IF(24&gt;=4,Assumptions!B73,0)</f>
        <v>120</v>
      </c>
      <c r="Z99" s="22">
        <f t="shared" si="22"/>
        <v>2520</v>
      </c>
    </row>
    <row r="100" ht="15.75" customHeight="1">
      <c r="A100" s="21" t="s">
        <v>114</v>
      </c>
      <c r="B100" s="22">
        <f>IF(1&gt;=4,Assumptions!B74,0)</f>
        <v>0</v>
      </c>
      <c r="C100" s="22">
        <f>IF(2&gt;=4,Assumptions!B74,0)</f>
        <v>0</v>
      </c>
      <c r="D100" s="22">
        <f>IF(3&gt;=4,Assumptions!B74,0)</f>
        <v>0</v>
      </c>
      <c r="E100" s="22">
        <f>IF(4&gt;=4,Assumptions!B74,0)</f>
        <v>50</v>
      </c>
      <c r="F100" s="22">
        <f>IF(5&gt;=4,Assumptions!B74,0)</f>
        <v>50</v>
      </c>
      <c r="G100" s="22">
        <f>IF(6&gt;=4,Assumptions!B74,0)</f>
        <v>50</v>
      </c>
      <c r="H100" s="22">
        <f>IF(7&gt;=4,Assumptions!B74,0)</f>
        <v>50</v>
      </c>
      <c r="I100" s="22">
        <f>IF(8&gt;=4,Assumptions!B74,0)</f>
        <v>50</v>
      </c>
      <c r="J100" s="22">
        <f>IF(9&gt;=4,Assumptions!B74,0)</f>
        <v>50</v>
      </c>
      <c r="K100" s="22">
        <f>IF(10&gt;=4,Assumptions!B74,0)</f>
        <v>50</v>
      </c>
      <c r="L100" s="22">
        <f>IF(11&gt;=4,Assumptions!B74,0)</f>
        <v>50</v>
      </c>
      <c r="M100" s="22">
        <f>IF(12&gt;=4,Assumptions!B74,0)</f>
        <v>50</v>
      </c>
      <c r="N100" s="22">
        <f>IF(13&gt;=4,Assumptions!B74,0)</f>
        <v>50</v>
      </c>
      <c r="O100" s="22">
        <f>IF(14&gt;=4,Assumptions!B74,0)</f>
        <v>50</v>
      </c>
      <c r="P100" s="22">
        <f>IF(15&gt;=4,Assumptions!B74,0)</f>
        <v>50</v>
      </c>
      <c r="Q100" s="22">
        <f>IF(16&gt;=4,Assumptions!B74,0)</f>
        <v>50</v>
      </c>
      <c r="R100" s="22">
        <f>IF(17&gt;=4,Assumptions!B74,0)</f>
        <v>50</v>
      </c>
      <c r="S100" s="22">
        <f>IF(18&gt;=4,Assumptions!B74,0)</f>
        <v>50</v>
      </c>
      <c r="T100" s="22">
        <f>IF(19&gt;=4,Assumptions!B74,0)</f>
        <v>50</v>
      </c>
      <c r="U100" s="22">
        <f>IF(20&gt;=4,Assumptions!B74,0)</f>
        <v>50</v>
      </c>
      <c r="V100" s="22">
        <f>IF(21&gt;=4,Assumptions!B74,0)</f>
        <v>50</v>
      </c>
      <c r="W100" s="22">
        <f>IF(22&gt;=4,Assumptions!B74,0)</f>
        <v>50</v>
      </c>
      <c r="X100" s="22">
        <f>IF(23&gt;=4,Assumptions!B74,0)</f>
        <v>50</v>
      </c>
      <c r="Y100" s="22">
        <f>IF(24&gt;=4,Assumptions!B74,0)</f>
        <v>50</v>
      </c>
      <c r="Z100" s="22">
        <f t="shared" si="22"/>
        <v>1050</v>
      </c>
    </row>
    <row r="101" ht="15.75" customHeight="1">
      <c r="A101" s="21" t="s">
        <v>115</v>
      </c>
      <c r="B101" s="22">
        <f>IF(1&gt;=4,Assumptions!B75,0)</f>
        <v>0</v>
      </c>
      <c r="C101" s="22">
        <f>IF(2&gt;=4,Assumptions!B75,0)</f>
        <v>0</v>
      </c>
      <c r="D101" s="22">
        <f>IF(3&gt;=4,Assumptions!B75,0)</f>
        <v>0</v>
      </c>
      <c r="E101" s="22">
        <f>IF(4&gt;=4,Assumptions!B75,0)</f>
        <v>39</v>
      </c>
      <c r="F101" s="22">
        <f>IF(5&gt;=4,Assumptions!B75,0)</f>
        <v>39</v>
      </c>
      <c r="G101" s="22">
        <f>IF(6&gt;=4,Assumptions!B75,0)</f>
        <v>39</v>
      </c>
      <c r="H101" s="22">
        <f>IF(7&gt;=4,Assumptions!B75,0)</f>
        <v>39</v>
      </c>
      <c r="I101" s="22">
        <f>IF(8&gt;=4,Assumptions!B75,0)</f>
        <v>39</v>
      </c>
      <c r="J101" s="22">
        <f>IF(9&gt;=4,Assumptions!B75,0)</f>
        <v>39</v>
      </c>
      <c r="K101" s="22">
        <f>IF(10&gt;=4,Assumptions!B75,0)</f>
        <v>39</v>
      </c>
      <c r="L101" s="22">
        <f>IF(11&gt;=4,Assumptions!B75,0)</f>
        <v>39</v>
      </c>
      <c r="M101" s="22">
        <f>IF(12&gt;=4,Assumptions!B75,0)</f>
        <v>39</v>
      </c>
      <c r="N101" s="22">
        <f>IF(13&gt;=4,Assumptions!B75,0)</f>
        <v>39</v>
      </c>
      <c r="O101" s="22">
        <f>IF(14&gt;=4,Assumptions!B75,0)</f>
        <v>39</v>
      </c>
      <c r="P101" s="22">
        <f>IF(15&gt;=4,Assumptions!B75,0)</f>
        <v>39</v>
      </c>
      <c r="Q101" s="22">
        <f>IF(16&gt;=4,Assumptions!B75,0)</f>
        <v>39</v>
      </c>
      <c r="R101" s="22">
        <f>IF(17&gt;=4,Assumptions!B75,0)</f>
        <v>39</v>
      </c>
      <c r="S101" s="22">
        <f>IF(18&gt;=4,Assumptions!B75,0)</f>
        <v>39</v>
      </c>
      <c r="T101" s="22">
        <f>IF(19&gt;=4,Assumptions!B75,0)</f>
        <v>39</v>
      </c>
      <c r="U101" s="22">
        <f>IF(20&gt;=4,Assumptions!B75,0)</f>
        <v>39</v>
      </c>
      <c r="V101" s="22">
        <f>IF(21&gt;=4,Assumptions!B75,0)</f>
        <v>39</v>
      </c>
      <c r="W101" s="22">
        <f>IF(22&gt;=4,Assumptions!B75,0)</f>
        <v>39</v>
      </c>
      <c r="X101" s="22">
        <f>IF(23&gt;=4,Assumptions!B75,0)</f>
        <v>39</v>
      </c>
      <c r="Y101" s="22">
        <f>IF(24&gt;=4,Assumptions!B75,0)</f>
        <v>39</v>
      </c>
      <c r="Z101" s="22">
        <f t="shared" si="22"/>
        <v>819</v>
      </c>
    </row>
    <row r="102" ht="15.75" customHeight="1">
      <c r="A102" s="21" t="s">
        <v>116</v>
      </c>
      <c r="B102" s="22">
        <f>Assumptions!B76</f>
        <v>400</v>
      </c>
      <c r="C102" s="22">
        <f>Assumptions!B76</f>
        <v>400</v>
      </c>
      <c r="D102" s="22">
        <f>Assumptions!B76</f>
        <v>400</v>
      </c>
      <c r="E102" s="22">
        <f>Assumptions!B76</f>
        <v>400</v>
      </c>
      <c r="F102" s="22">
        <f>Assumptions!B76</f>
        <v>400</v>
      </c>
      <c r="G102" s="22">
        <f>Assumptions!B76</f>
        <v>400</v>
      </c>
      <c r="H102" s="22">
        <f>Assumptions!B76</f>
        <v>400</v>
      </c>
      <c r="I102" s="22">
        <f>Assumptions!B76</f>
        <v>400</v>
      </c>
      <c r="J102" s="22">
        <f>Assumptions!B76</f>
        <v>400</v>
      </c>
      <c r="K102" s="22">
        <f>Assumptions!B76</f>
        <v>400</v>
      </c>
      <c r="L102" s="22">
        <f>Assumptions!B76</f>
        <v>400</v>
      </c>
      <c r="M102" s="22">
        <f>Assumptions!B76</f>
        <v>400</v>
      </c>
      <c r="N102" s="22">
        <f>Assumptions!B76</f>
        <v>400</v>
      </c>
      <c r="O102" s="22">
        <f>Assumptions!B76</f>
        <v>400</v>
      </c>
      <c r="P102" s="22">
        <f>Assumptions!B76</f>
        <v>400</v>
      </c>
      <c r="Q102" s="22">
        <f>Assumptions!B76</f>
        <v>400</v>
      </c>
      <c r="R102" s="22">
        <f>Assumptions!B76</f>
        <v>400</v>
      </c>
      <c r="S102" s="22">
        <f>Assumptions!B76</f>
        <v>400</v>
      </c>
      <c r="T102" s="22">
        <f>Assumptions!B76</f>
        <v>400</v>
      </c>
      <c r="U102" s="22">
        <f>Assumptions!B76</f>
        <v>400</v>
      </c>
      <c r="V102" s="22">
        <f>Assumptions!B76</f>
        <v>400</v>
      </c>
      <c r="W102" s="22">
        <f>Assumptions!B76</f>
        <v>400</v>
      </c>
      <c r="X102" s="22">
        <f>Assumptions!B76</f>
        <v>400</v>
      </c>
      <c r="Y102" s="22">
        <f>Assumptions!B76</f>
        <v>400</v>
      </c>
      <c r="Z102" s="22">
        <f t="shared" si="22"/>
        <v>9600</v>
      </c>
    </row>
    <row r="103" ht="15.75" customHeight="1">
      <c r="A103" s="21" t="s">
        <v>117</v>
      </c>
      <c r="B103" s="22">
        <f>Assumptions!B77</f>
        <v>25</v>
      </c>
      <c r="C103" s="22">
        <f>Assumptions!B77</f>
        <v>25</v>
      </c>
      <c r="D103" s="22">
        <f>Assumptions!B77</f>
        <v>25</v>
      </c>
      <c r="E103" s="22">
        <f>Assumptions!B77</f>
        <v>25</v>
      </c>
      <c r="F103" s="22">
        <f>Assumptions!B77</f>
        <v>25</v>
      </c>
      <c r="G103" s="22">
        <f>Assumptions!B77</f>
        <v>25</v>
      </c>
      <c r="H103" s="22">
        <f>Assumptions!B77</f>
        <v>25</v>
      </c>
      <c r="I103" s="22">
        <f>Assumptions!B77</f>
        <v>25</v>
      </c>
      <c r="J103" s="22">
        <f>Assumptions!B77</f>
        <v>25</v>
      </c>
      <c r="K103" s="22">
        <f>Assumptions!B77</f>
        <v>25</v>
      </c>
      <c r="L103" s="22">
        <f>Assumptions!B77</f>
        <v>25</v>
      </c>
      <c r="M103" s="22">
        <f>Assumptions!B77</f>
        <v>25</v>
      </c>
      <c r="N103" s="22">
        <f>Assumptions!B77</f>
        <v>25</v>
      </c>
      <c r="O103" s="22">
        <f>Assumptions!B77</f>
        <v>25</v>
      </c>
      <c r="P103" s="22">
        <f>Assumptions!B77</f>
        <v>25</v>
      </c>
      <c r="Q103" s="22">
        <f>Assumptions!B77</f>
        <v>25</v>
      </c>
      <c r="R103" s="22">
        <f>Assumptions!B77</f>
        <v>25</v>
      </c>
      <c r="S103" s="22">
        <f>Assumptions!B77</f>
        <v>25</v>
      </c>
      <c r="T103" s="22">
        <f>Assumptions!B77</f>
        <v>25</v>
      </c>
      <c r="U103" s="22">
        <f>Assumptions!B77</f>
        <v>25</v>
      </c>
      <c r="V103" s="22">
        <f>Assumptions!B77</f>
        <v>25</v>
      </c>
      <c r="W103" s="22">
        <f>Assumptions!B77</f>
        <v>25</v>
      </c>
      <c r="X103" s="22">
        <f>Assumptions!B77</f>
        <v>25</v>
      </c>
      <c r="Y103" s="22">
        <f>Assumptions!B77</f>
        <v>25</v>
      </c>
      <c r="Z103" s="22">
        <f t="shared" si="22"/>
        <v>600</v>
      </c>
    </row>
    <row r="104" ht="15.75" customHeight="1">
      <c r="A104" s="21" t="s">
        <v>118</v>
      </c>
      <c r="B104" s="22">
        <f>IF(1&gt;=4,Assumptions!B78,0)</f>
        <v>0</v>
      </c>
      <c r="C104" s="22">
        <f>IF(2&gt;=4,Assumptions!B78,0)</f>
        <v>0</v>
      </c>
      <c r="D104" s="22">
        <f>IF(3&gt;=4,Assumptions!B78,0)</f>
        <v>0</v>
      </c>
      <c r="E104" s="22">
        <f>IF(4&gt;=4,Assumptions!B78,0)</f>
        <v>80</v>
      </c>
      <c r="F104" s="22">
        <f>IF(5&gt;=4,Assumptions!B78,0)</f>
        <v>80</v>
      </c>
      <c r="G104" s="22">
        <f>IF(6&gt;=4,Assumptions!B78,0)</f>
        <v>80</v>
      </c>
      <c r="H104" s="22">
        <f>IF(7&gt;=4,Assumptions!B78,0)</f>
        <v>80</v>
      </c>
      <c r="I104" s="22">
        <f>IF(8&gt;=4,Assumptions!B78,0)</f>
        <v>80</v>
      </c>
      <c r="J104" s="22">
        <f>IF(9&gt;=4,Assumptions!B78,0)</f>
        <v>80</v>
      </c>
      <c r="K104" s="22">
        <f>IF(10&gt;=4,Assumptions!B78,0)</f>
        <v>80</v>
      </c>
      <c r="L104" s="22">
        <f>IF(11&gt;=4,Assumptions!B78,0)</f>
        <v>80</v>
      </c>
      <c r="M104" s="22">
        <f>IF(12&gt;=4,Assumptions!B78,0)</f>
        <v>80</v>
      </c>
      <c r="N104" s="22">
        <f>IF(13&gt;=4,Assumptions!B78,0)</f>
        <v>80</v>
      </c>
      <c r="O104" s="22">
        <f>IF(14&gt;=4,Assumptions!B78,0)</f>
        <v>80</v>
      </c>
      <c r="P104" s="22">
        <f>IF(15&gt;=4,Assumptions!B78,0)</f>
        <v>80</v>
      </c>
      <c r="Q104" s="22">
        <f>IF(16&gt;=4,Assumptions!B78,0)</f>
        <v>80</v>
      </c>
      <c r="R104" s="22">
        <f>IF(17&gt;=4,Assumptions!B78,0)</f>
        <v>80</v>
      </c>
      <c r="S104" s="22">
        <f>IF(18&gt;=4,Assumptions!B78,0)</f>
        <v>80</v>
      </c>
      <c r="T104" s="22">
        <f>IF(19&gt;=4,Assumptions!B78,0)</f>
        <v>80</v>
      </c>
      <c r="U104" s="22">
        <f>IF(20&gt;=4,Assumptions!B78,0)</f>
        <v>80</v>
      </c>
      <c r="V104" s="22">
        <f>IF(21&gt;=4,Assumptions!B78,0)</f>
        <v>80</v>
      </c>
      <c r="W104" s="22">
        <f>IF(22&gt;=4,Assumptions!B78,0)</f>
        <v>80</v>
      </c>
      <c r="X104" s="22">
        <f>IF(23&gt;=4,Assumptions!B78,0)</f>
        <v>80</v>
      </c>
      <c r="Y104" s="22">
        <f>IF(24&gt;=4,Assumptions!B78,0)</f>
        <v>80</v>
      </c>
      <c r="Z104" s="22">
        <f t="shared" si="22"/>
        <v>1680</v>
      </c>
    </row>
    <row r="105" ht="15.75" customHeight="1">
      <c r="A105" s="21" t="s">
        <v>119</v>
      </c>
      <c r="B105" s="22">
        <f>Assumptions!B79</f>
        <v>10</v>
      </c>
      <c r="C105" s="22">
        <f>Assumptions!B79</f>
        <v>10</v>
      </c>
      <c r="D105" s="22">
        <f>Assumptions!B79</f>
        <v>10</v>
      </c>
      <c r="E105" s="22">
        <f>Assumptions!B79</f>
        <v>10</v>
      </c>
      <c r="F105" s="22">
        <f>Assumptions!B79</f>
        <v>10</v>
      </c>
      <c r="G105" s="22">
        <f>Assumptions!B79</f>
        <v>10</v>
      </c>
      <c r="H105" s="22">
        <f>Assumptions!B79</f>
        <v>10</v>
      </c>
      <c r="I105" s="22">
        <f>Assumptions!B79</f>
        <v>10</v>
      </c>
      <c r="J105" s="22">
        <f>Assumptions!B79</f>
        <v>10</v>
      </c>
      <c r="K105" s="22">
        <f>Assumptions!B79</f>
        <v>10</v>
      </c>
      <c r="L105" s="22">
        <f>Assumptions!B79</f>
        <v>10</v>
      </c>
      <c r="M105" s="22">
        <f>Assumptions!B79</f>
        <v>10</v>
      </c>
      <c r="N105" s="22">
        <f>Assumptions!B79</f>
        <v>10</v>
      </c>
      <c r="O105" s="22">
        <f>Assumptions!B79</f>
        <v>10</v>
      </c>
      <c r="P105" s="22">
        <f>Assumptions!B79</f>
        <v>10</v>
      </c>
      <c r="Q105" s="22">
        <f>Assumptions!B79</f>
        <v>10</v>
      </c>
      <c r="R105" s="22">
        <f>Assumptions!B79</f>
        <v>10</v>
      </c>
      <c r="S105" s="22">
        <f>Assumptions!B79</f>
        <v>10</v>
      </c>
      <c r="T105" s="22">
        <f>Assumptions!B79</f>
        <v>10</v>
      </c>
      <c r="U105" s="22">
        <f>Assumptions!B79</f>
        <v>10</v>
      </c>
      <c r="V105" s="22">
        <f>Assumptions!B79</f>
        <v>10</v>
      </c>
      <c r="W105" s="22">
        <f>Assumptions!B79</f>
        <v>10</v>
      </c>
      <c r="X105" s="22">
        <f>Assumptions!B79</f>
        <v>10</v>
      </c>
      <c r="Y105" s="22">
        <f>Assumptions!B79</f>
        <v>10</v>
      </c>
      <c r="Z105" s="22">
        <f t="shared" si="22"/>
        <v>240</v>
      </c>
    </row>
    <row r="106" ht="15.75" customHeight="1">
      <c r="A106" s="21" t="s">
        <v>120</v>
      </c>
      <c r="B106" s="22">
        <f>IF(1&gt;=4,Assumptions!B80,0)</f>
        <v>0</v>
      </c>
      <c r="C106" s="22">
        <f>IF(2&gt;=4,Assumptions!B80,0)</f>
        <v>0</v>
      </c>
      <c r="D106" s="22">
        <f>IF(3&gt;=4,Assumptions!B80,0)</f>
        <v>0</v>
      </c>
      <c r="E106" s="22">
        <f>IF(4&gt;=4,Assumptions!B80,0)</f>
        <v>35</v>
      </c>
      <c r="F106" s="22">
        <f>IF(5&gt;=4,Assumptions!B80,0)</f>
        <v>35</v>
      </c>
      <c r="G106" s="22">
        <f>IF(6&gt;=4,Assumptions!B80,0)</f>
        <v>35</v>
      </c>
      <c r="H106" s="22">
        <f>IF(7&gt;=4,Assumptions!B80,0)</f>
        <v>35</v>
      </c>
      <c r="I106" s="22">
        <f>IF(8&gt;=4,Assumptions!B80,0)</f>
        <v>35</v>
      </c>
      <c r="J106" s="22">
        <f>IF(9&gt;=4,Assumptions!B80,0)</f>
        <v>35</v>
      </c>
      <c r="K106" s="22">
        <f>IF(10&gt;=4,Assumptions!B80,0)</f>
        <v>35</v>
      </c>
      <c r="L106" s="22">
        <f>IF(11&gt;=4,Assumptions!B80,0)</f>
        <v>35</v>
      </c>
      <c r="M106" s="22">
        <f>IF(12&gt;=4,Assumptions!B80,0)</f>
        <v>35</v>
      </c>
      <c r="N106" s="22">
        <f>IF(13&gt;=4,Assumptions!B80,0)</f>
        <v>35</v>
      </c>
      <c r="O106" s="22">
        <f>IF(14&gt;=4,Assumptions!B80,0)</f>
        <v>35</v>
      </c>
      <c r="P106" s="22">
        <f>IF(15&gt;=4,Assumptions!B80,0)</f>
        <v>35</v>
      </c>
      <c r="Q106" s="22">
        <f>IF(16&gt;=4,Assumptions!B80,0)</f>
        <v>35</v>
      </c>
      <c r="R106" s="22">
        <f>IF(17&gt;=4,Assumptions!B80,0)</f>
        <v>35</v>
      </c>
      <c r="S106" s="22">
        <f>IF(18&gt;=4,Assumptions!B80,0)</f>
        <v>35</v>
      </c>
      <c r="T106" s="22">
        <f>IF(19&gt;=4,Assumptions!B80,0)</f>
        <v>35</v>
      </c>
      <c r="U106" s="22">
        <f>IF(20&gt;=4,Assumptions!B80,0)</f>
        <v>35</v>
      </c>
      <c r="V106" s="22">
        <f>IF(21&gt;=4,Assumptions!B80,0)</f>
        <v>35</v>
      </c>
      <c r="W106" s="22">
        <f>IF(22&gt;=4,Assumptions!B80,0)</f>
        <v>35</v>
      </c>
      <c r="X106" s="22">
        <f>IF(23&gt;=4,Assumptions!B80,0)</f>
        <v>35</v>
      </c>
      <c r="Y106" s="22">
        <f>IF(24&gt;=4,Assumptions!B80,0)</f>
        <v>35</v>
      </c>
      <c r="Z106" s="22">
        <f t="shared" si="22"/>
        <v>735</v>
      </c>
    </row>
    <row r="107" ht="15.75" customHeight="1">
      <c r="A107" s="21" t="s">
        <v>121</v>
      </c>
      <c r="B107" s="22">
        <f>IF(1&gt;=4,Assumptions!B81,0)</f>
        <v>0</v>
      </c>
      <c r="C107" s="22">
        <f>IF(2&gt;=4,Assumptions!B81,0)</f>
        <v>0</v>
      </c>
      <c r="D107" s="22">
        <f>IF(3&gt;=4,Assumptions!B81,0)</f>
        <v>0</v>
      </c>
      <c r="E107" s="22">
        <f>IF(4&gt;=4,Assumptions!B81,0)</f>
        <v>6</v>
      </c>
      <c r="F107" s="22">
        <f>IF(5&gt;=4,Assumptions!B81,0)</f>
        <v>6</v>
      </c>
      <c r="G107" s="22">
        <f>IF(6&gt;=4,Assumptions!B81,0)</f>
        <v>6</v>
      </c>
      <c r="H107" s="22">
        <f>IF(7&gt;=4,Assumptions!B81,0)</f>
        <v>6</v>
      </c>
      <c r="I107" s="22">
        <f>IF(8&gt;=4,Assumptions!B81,0)</f>
        <v>6</v>
      </c>
      <c r="J107" s="22">
        <f>IF(9&gt;=4,Assumptions!B81,0)</f>
        <v>6</v>
      </c>
      <c r="K107" s="22">
        <f>IF(10&gt;=4,Assumptions!B81,0)</f>
        <v>6</v>
      </c>
      <c r="L107" s="22">
        <f>IF(11&gt;=4,Assumptions!B81,0)</f>
        <v>6</v>
      </c>
      <c r="M107" s="22">
        <f>IF(12&gt;=4,Assumptions!B81,0)</f>
        <v>6</v>
      </c>
      <c r="N107" s="22">
        <f>IF(13&gt;=4,Assumptions!B81,0)</f>
        <v>6</v>
      </c>
      <c r="O107" s="22">
        <f>IF(14&gt;=4,Assumptions!B81,0)</f>
        <v>6</v>
      </c>
      <c r="P107" s="22">
        <f>IF(15&gt;=4,Assumptions!B81,0)</f>
        <v>6</v>
      </c>
      <c r="Q107" s="22">
        <f>IF(16&gt;=4,Assumptions!B81,0)</f>
        <v>6</v>
      </c>
      <c r="R107" s="22">
        <f>IF(17&gt;=4,Assumptions!B81,0)</f>
        <v>6</v>
      </c>
      <c r="S107" s="22">
        <f>IF(18&gt;=4,Assumptions!B81,0)</f>
        <v>6</v>
      </c>
      <c r="T107" s="22">
        <f>IF(19&gt;=4,Assumptions!B81,0)</f>
        <v>6</v>
      </c>
      <c r="U107" s="22">
        <f>IF(20&gt;=4,Assumptions!B81,0)</f>
        <v>6</v>
      </c>
      <c r="V107" s="22">
        <f>IF(21&gt;=4,Assumptions!B81,0)</f>
        <v>6</v>
      </c>
      <c r="W107" s="22">
        <f>IF(22&gt;=4,Assumptions!B81,0)</f>
        <v>6</v>
      </c>
      <c r="X107" s="22">
        <f>IF(23&gt;=4,Assumptions!B81,0)</f>
        <v>6</v>
      </c>
      <c r="Y107" s="22">
        <f>IF(24&gt;=4,Assumptions!B81,0)</f>
        <v>6</v>
      </c>
      <c r="Z107" s="22">
        <f t="shared" si="22"/>
        <v>126</v>
      </c>
    </row>
    <row r="108" ht="15.75" customHeight="1">
      <c r="A108" s="21" t="s">
        <v>122</v>
      </c>
      <c r="B108" s="22">
        <f>Assumptions!B82</f>
        <v>6</v>
      </c>
      <c r="C108" s="22">
        <f>Assumptions!B82</f>
        <v>6</v>
      </c>
      <c r="D108" s="22">
        <f>Assumptions!B82</f>
        <v>6</v>
      </c>
      <c r="E108" s="22">
        <f>Assumptions!B82</f>
        <v>6</v>
      </c>
      <c r="F108" s="22">
        <f>Assumptions!B82</f>
        <v>6</v>
      </c>
      <c r="G108" s="22">
        <f>Assumptions!B82</f>
        <v>6</v>
      </c>
      <c r="H108" s="22">
        <f>Assumptions!B82</f>
        <v>6</v>
      </c>
      <c r="I108" s="22">
        <f>Assumptions!B82</f>
        <v>6</v>
      </c>
      <c r="J108" s="22">
        <f>Assumptions!B82</f>
        <v>6</v>
      </c>
      <c r="K108" s="22">
        <f>Assumptions!B82</f>
        <v>6</v>
      </c>
      <c r="L108" s="22">
        <f>Assumptions!B82</f>
        <v>6</v>
      </c>
      <c r="M108" s="22">
        <f>Assumptions!B82</f>
        <v>6</v>
      </c>
      <c r="N108" s="22">
        <f>Assumptions!B82</f>
        <v>6</v>
      </c>
      <c r="O108" s="22">
        <f>Assumptions!B82</f>
        <v>6</v>
      </c>
      <c r="P108" s="22">
        <f>Assumptions!B82</f>
        <v>6</v>
      </c>
      <c r="Q108" s="22">
        <f>Assumptions!B82</f>
        <v>6</v>
      </c>
      <c r="R108" s="22">
        <f>Assumptions!B82</f>
        <v>6</v>
      </c>
      <c r="S108" s="22">
        <f>Assumptions!B82</f>
        <v>6</v>
      </c>
      <c r="T108" s="22">
        <f>Assumptions!B82</f>
        <v>6</v>
      </c>
      <c r="U108" s="22">
        <f>Assumptions!B82</f>
        <v>6</v>
      </c>
      <c r="V108" s="22">
        <f>Assumptions!B82</f>
        <v>6</v>
      </c>
      <c r="W108" s="22">
        <f>Assumptions!B82</f>
        <v>6</v>
      </c>
      <c r="X108" s="22">
        <f>Assumptions!B82</f>
        <v>6</v>
      </c>
      <c r="Y108" s="22">
        <f>Assumptions!B82</f>
        <v>6</v>
      </c>
      <c r="Z108" s="22">
        <f t="shared" si="22"/>
        <v>144</v>
      </c>
    </row>
    <row r="109" ht="15.75" customHeight="1">
      <c r="A109" s="21" t="s">
        <v>123</v>
      </c>
      <c r="B109" s="22">
        <f>Assumptions!B94</f>
        <v>35</v>
      </c>
      <c r="C109" s="22">
        <f>Assumptions!B94</f>
        <v>35</v>
      </c>
      <c r="D109" s="22">
        <f>Assumptions!B94</f>
        <v>35</v>
      </c>
      <c r="E109" s="22">
        <f>Assumptions!B94</f>
        <v>35</v>
      </c>
      <c r="F109" s="22">
        <f>Assumptions!B94</f>
        <v>35</v>
      </c>
      <c r="G109" s="22">
        <f>Assumptions!B94</f>
        <v>35</v>
      </c>
      <c r="H109" s="22">
        <f>Assumptions!B94</f>
        <v>35</v>
      </c>
      <c r="I109" s="22">
        <f>Assumptions!B94</f>
        <v>35</v>
      </c>
      <c r="J109" s="22">
        <f>Assumptions!B94</f>
        <v>35</v>
      </c>
      <c r="K109" s="22">
        <f>Assumptions!B94</f>
        <v>35</v>
      </c>
      <c r="L109" s="22">
        <f>Assumptions!B94</f>
        <v>35</v>
      </c>
      <c r="M109" s="22">
        <f>Assumptions!B94</f>
        <v>35</v>
      </c>
      <c r="N109" s="22">
        <f>Assumptions!B94</f>
        <v>35</v>
      </c>
      <c r="O109" s="22">
        <f>Assumptions!B94</f>
        <v>35</v>
      </c>
      <c r="P109" s="22">
        <f>Assumptions!B94</f>
        <v>35</v>
      </c>
      <c r="Q109" s="22">
        <f>Assumptions!B94</f>
        <v>35</v>
      </c>
      <c r="R109" s="22">
        <f>Assumptions!B94</f>
        <v>35</v>
      </c>
      <c r="S109" s="22">
        <f>Assumptions!B94</f>
        <v>35</v>
      </c>
      <c r="T109" s="22">
        <f>Assumptions!B94</f>
        <v>35</v>
      </c>
      <c r="U109" s="22">
        <f>Assumptions!B94</f>
        <v>35</v>
      </c>
      <c r="V109" s="22">
        <f>Assumptions!B94</f>
        <v>35</v>
      </c>
      <c r="W109" s="22">
        <f>Assumptions!B94</f>
        <v>35</v>
      </c>
      <c r="X109" s="22">
        <f>Assumptions!B94</f>
        <v>35</v>
      </c>
      <c r="Y109" s="22">
        <f>Assumptions!B94</f>
        <v>35</v>
      </c>
      <c r="Z109" s="22">
        <f t="shared" si="22"/>
        <v>840</v>
      </c>
    </row>
    <row r="110" ht="15.75" customHeight="1">
      <c r="A110" s="21" t="s">
        <v>124</v>
      </c>
      <c r="B110" s="22">
        <f>IF(1=3,500,0)</f>
        <v>0</v>
      </c>
      <c r="C110" s="22">
        <f>IF(2=3,500,0)</f>
        <v>0</v>
      </c>
      <c r="D110" s="22">
        <f>IF(3=3,500,0)</f>
        <v>500</v>
      </c>
      <c r="E110" s="22">
        <f>IF(4=3,500,0)</f>
        <v>0</v>
      </c>
      <c r="F110" s="22">
        <f>IF(5=3,500,0)</f>
        <v>0</v>
      </c>
      <c r="G110" s="22">
        <f>IF(6=3,500,0)</f>
        <v>0</v>
      </c>
      <c r="H110" s="22">
        <f>IF(7=3,500,0)</f>
        <v>0</v>
      </c>
      <c r="I110" s="22">
        <f>IF(8=3,500,0)</f>
        <v>0</v>
      </c>
      <c r="J110" s="22">
        <f>IF(9=3,500,0)</f>
        <v>0</v>
      </c>
      <c r="K110" s="22">
        <f>IF(10=3,500,0)</f>
        <v>0</v>
      </c>
      <c r="L110" s="22">
        <f>IF(11=3,500,0)</f>
        <v>0</v>
      </c>
      <c r="M110" s="22">
        <f>IF(12=3,500,0)</f>
        <v>0</v>
      </c>
      <c r="N110" s="22">
        <f>IF(13=3,500,0)</f>
        <v>0</v>
      </c>
      <c r="O110" s="22">
        <f>IF(14=3,500,0)</f>
        <v>0</v>
      </c>
      <c r="P110" s="22">
        <f>IF(15=3,500,0)</f>
        <v>0</v>
      </c>
      <c r="Q110" s="22">
        <f>IF(16=3,500,0)</f>
        <v>0</v>
      </c>
      <c r="R110" s="22">
        <f>IF(17=3,500,0)</f>
        <v>0</v>
      </c>
      <c r="S110" s="22">
        <f>IF(18=3,500,0)</f>
        <v>0</v>
      </c>
      <c r="T110" s="22">
        <f>IF(19=3,500,0)</f>
        <v>0</v>
      </c>
      <c r="U110" s="22">
        <f>IF(20=3,500,0)</f>
        <v>0</v>
      </c>
      <c r="V110" s="22">
        <f>IF(21=3,500,0)</f>
        <v>0</v>
      </c>
      <c r="W110" s="22">
        <f>IF(22=3,500,0)</f>
        <v>0</v>
      </c>
      <c r="X110" s="22">
        <f>IF(23=3,500,0)</f>
        <v>0</v>
      </c>
      <c r="Y110" s="22">
        <f>IF(24=3,500,0)</f>
        <v>0</v>
      </c>
      <c r="Z110" s="22">
        <f t="shared" si="22"/>
        <v>500</v>
      </c>
    </row>
    <row r="111" ht="15.75" customHeight="1">
      <c r="A111" s="27" t="s">
        <v>125</v>
      </c>
      <c r="B111" s="28">
        <f t="shared" ref="B111:Y111" si="23">B88+B89+B90+B91+B92+B93+B94+B95+B96+B97+B98+B99+B100+B101+B102+B103+B104+B105+B106+B107+B108+B109+B110</f>
        <v>2176</v>
      </c>
      <c r="C111" s="28">
        <f t="shared" si="23"/>
        <v>2176</v>
      </c>
      <c r="D111" s="28">
        <f t="shared" si="23"/>
        <v>2676</v>
      </c>
      <c r="E111" s="28">
        <f t="shared" si="23"/>
        <v>4356</v>
      </c>
      <c r="F111" s="28">
        <f t="shared" si="23"/>
        <v>4356</v>
      </c>
      <c r="G111" s="28">
        <f t="shared" si="23"/>
        <v>4356</v>
      </c>
      <c r="H111" s="28">
        <f t="shared" si="23"/>
        <v>4356</v>
      </c>
      <c r="I111" s="28">
        <f t="shared" si="23"/>
        <v>4356</v>
      </c>
      <c r="J111" s="28">
        <f t="shared" si="23"/>
        <v>4356</v>
      </c>
      <c r="K111" s="28">
        <f t="shared" si="23"/>
        <v>4356</v>
      </c>
      <c r="L111" s="28">
        <f t="shared" si="23"/>
        <v>4356</v>
      </c>
      <c r="M111" s="28">
        <f t="shared" si="23"/>
        <v>4356</v>
      </c>
      <c r="N111" s="28">
        <f t="shared" si="23"/>
        <v>4356</v>
      </c>
      <c r="O111" s="28">
        <f t="shared" si="23"/>
        <v>4356</v>
      </c>
      <c r="P111" s="28">
        <f t="shared" si="23"/>
        <v>4356</v>
      </c>
      <c r="Q111" s="28">
        <f t="shared" si="23"/>
        <v>4356</v>
      </c>
      <c r="R111" s="28">
        <f t="shared" si="23"/>
        <v>4356</v>
      </c>
      <c r="S111" s="28">
        <f t="shared" si="23"/>
        <v>4356</v>
      </c>
      <c r="T111" s="28">
        <f t="shared" si="23"/>
        <v>4356</v>
      </c>
      <c r="U111" s="28">
        <f t="shared" si="23"/>
        <v>4356</v>
      </c>
      <c r="V111" s="28">
        <f t="shared" si="23"/>
        <v>4356</v>
      </c>
      <c r="W111" s="28">
        <f t="shared" si="23"/>
        <v>4356</v>
      </c>
      <c r="X111" s="28">
        <f t="shared" si="23"/>
        <v>4356</v>
      </c>
      <c r="Y111" s="28">
        <f t="shared" si="23"/>
        <v>4356</v>
      </c>
      <c r="Z111" s="28">
        <f t="shared" si="22"/>
        <v>98504</v>
      </c>
    </row>
    <row r="112" ht="15.75" customHeight="1">
      <c r="A112" s="12" t="s">
        <v>126</v>
      </c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21" t="s">
        <v>127</v>
      </c>
      <c r="B113" s="22">
        <f>IF(1&lt;=6,Assumptions!B58,IF(1&lt;=12,Assumptions!B59,Assumptions!B60))</f>
        <v>338</v>
      </c>
      <c r="C113" s="22">
        <f>IF(2&lt;=6,Assumptions!B58,IF(2&lt;=12,Assumptions!B59,Assumptions!B60))</f>
        <v>338</v>
      </c>
      <c r="D113" s="22">
        <f>IF(3&lt;=6,Assumptions!B58,IF(3&lt;=12,Assumptions!B59,Assumptions!B60))</f>
        <v>338</v>
      </c>
      <c r="E113" s="22">
        <f>IF(4&lt;=6,Assumptions!B58,IF(4&lt;=12,Assumptions!B59,Assumptions!B60))</f>
        <v>338</v>
      </c>
      <c r="F113" s="22">
        <f>IF(5&lt;=6,Assumptions!B58,IF(5&lt;=12,Assumptions!B59,Assumptions!B60))</f>
        <v>338</v>
      </c>
      <c r="G113" s="22">
        <f>IF(6&lt;=6,Assumptions!B58,IF(6&lt;=12,Assumptions!B59,Assumptions!B60))</f>
        <v>338</v>
      </c>
      <c r="H113" s="22">
        <f>IF(7&lt;=6,Assumptions!B58,IF(7&lt;=12,Assumptions!B59,Assumptions!B60))</f>
        <v>500</v>
      </c>
      <c r="I113" s="22">
        <f>IF(8&lt;=6,Assumptions!B58,IF(8&lt;=12,Assumptions!B59,Assumptions!B60))</f>
        <v>500</v>
      </c>
      <c r="J113" s="22">
        <f>IF(9&lt;=6,Assumptions!B58,IF(9&lt;=12,Assumptions!B59,Assumptions!B60))</f>
        <v>500</v>
      </c>
      <c r="K113" s="22">
        <f>IF(10&lt;=6,Assumptions!B58,IF(10&lt;=12,Assumptions!B59,Assumptions!B60))</f>
        <v>500</v>
      </c>
      <c r="L113" s="22">
        <f>IF(11&lt;=6,Assumptions!B58,IF(11&lt;=12,Assumptions!B59,Assumptions!B60))</f>
        <v>500</v>
      </c>
      <c r="M113" s="22">
        <f>IF(12&lt;=6,Assumptions!B58,IF(12&lt;=12,Assumptions!B59,Assumptions!B60))</f>
        <v>500</v>
      </c>
      <c r="N113" s="22">
        <f>IF(13&lt;=6,Assumptions!B58,IF(13&lt;=12,Assumptions!B59,Assumptions!B60))</f>
        <v>750</v>
      </c>
      <c r="O113" s="22">
        <f>IF(14&lt;=6,Assumptions!B58,IF(14&lt;=12,Assumptions!B59,Assumptions!B60))</f>
        <v>750</v>
      </c>
      <c r="P113" s="22">
        <f>IF(15&lt;=6,Assumptions!B58,IF(15&lt;=12,Assumptions!B59,Assumptions!B60))</f>
        <v>750</v>
      </c>
      <c r="Q113" s="22">
        <f>IF(16&lt;=6,Assumptions!B58,IF(16&lt;=12,Assumptions!B59,Assumptions!B60))</f>
        <v>750</v>
      </c>
      <c r="R113" s="22">
        <f>IF(17&lt;=6,Assumptions!B58,IF(17&lt;=12,Assumptions!B59,Assumptions!B60))</f>
        <v>750</v>
      </c>
      <c r="S113" s="22">
        <f>IF(18&lt;=6,Assumptions!B58,IF(18&lt;=12,Assumptions!B59,Assumptions!B60))</f>
        <v>750</v>
      </c>
      <c r="T113" s="22">
        <f>IF(19&lt;=6,Assumptions!B58,IF(19&lt;=12,Assumptions!B59,Assumptions!B60))</f>
        <v>750</v>
      </c>
      <c r="U113" s="22">
        <f>IF(20&lt;=6,Assumptions!B58,IF(20&lt;=12,Assumptions!B59,Assumptions!B60))</f>
        <v>750</v>
      </c>
      <c r="V113" s="22">
        <f>IF(21&lt;=6,Assumptions!B58,IF(21&lt;=12,Assumptions!B59,Assumptions!B60))</f>
        <v>750</v>
      </c>
      <c r="W113" s="22">
        <f>IF(22&lt;=6,Assumptions!B58,IF(22&lt;=12,Assumptions!B59,Assumptions!B60))</f>
        <v>750</v>
      </c>
      <c r="X113" s="22">
        <f>IF(23&lt;=6,Assumptions!B58,IF(23&lt;=12,Assumptions!B59,Assumptions!B60))</f>
        <v>750</v>
      </c>
      <c r="Y113" s="22">
        <f>IF(24&lt;=6,Assumptions!B58,IF(24&lt;=12,Assumptions!B59,Assumptions!B60))</f>
        <v>750</v>
      </c>
      <c r="Z113" s="22">
        <f t="shared" ref="Z113:Z115" si="24">SUM(B113:Y113)</f>
        <v>14028</v>
      </c>
    </row>
    <row r="114" ht="15.75" customHeight="1">
      <c r="A114" s="21" t="s">
        <v>128</v>
      </c>
      <c r="B114" s="22">
        <f>Assumptions!B57</f>
        <v>210</v>
      </c>
      <c r="C114" s="22">
        <f>Assumptions!B57</f>
        <v>210</v>
      </c>
      <c r="D114" s="22">
        <f>Assumptions!B57</f>
        <v>210</v>
      </c>
      <c r="E114" s="22">
        <f>Assumptions!B57</f>
        <v>210</v>
      </c>
      <c r="F114" s="22">
        <f>Assumptions!B57</f>
        <v>210</v>
      </c>
      <c r="G114" s="22">
        <f>Assumptions!B57</f>
        <v>210</v>
      </c>
      <c r="H114" s="22">
        <f>Assumptions!B57</f>
        <v>210</v>
      </c>
      <c r="I114" s="22">
        <f>Assumptions!B57</f>
        <v>210</v>
      </c>
      <c r="J114" s="22">
        <f>Assumptions!B57</f>
        <v>210</v>
      </c>
      <c r="K114" s="22">
        <f>Assumptions!B57</f>
        <v>210</v>
      </c>
      <c r="L114" s="22">
        <f>Assumptions!B57</f>
        <v>210</v>
      </c>
      <c r="M114" s="22">
        <f>Assumptions!B57</f>
        <v>210</v>
      </c>
      <c r="N114" s="22">
        <f>Assumptions!B57</f>
        <v>210</v>
      </c>
      <c r="O114" s="22">
        <f>Assumptions!B57</f>
        <v>210</v>
      </c>
      <c r="P114" s="22">
        <f>Assumptions!B57</f>
        <v>210</v>
      </c>
      <c r="Q114" s="22">
        <f>Assumptions!B57</f>
        <v>210</v>
      </c>
      <c r="R114" s="22">
        <f>Assumptions!B57</f>
        <v>210</v>
      </c>
      <c r="S114" s="22">
        <f>Assumptions!B57</f>
        <v>210</v>
      </c>
      <c r="T114" s="22">
        <f>Assumptions!B57</f>
        <v>210</v>
      </c>
      <c r="U114" s="22">
        <f>Assumptions!B57</f>
        <v>210</v>
      </c>
      <c r="V114" s="22">
        <f>Assumptions!B57</f>
        <v>210</v>
      </c>
      <c r="W114" s="22">
        <f>Assumptions!B57</f>
        <v>210</v>
      </c>
      <c r="X114" s="22">
        <f>Assumptions!B57</f>
        <v>210</v>
      </c>
      <c r="Y114" s="22">
        <f>Assumptions!B57</f>
        <v>210</v>
      </c>
      <c r="Z114" s="22">
        <f t="shared" si="24"/>
        <v>5040</v>
      </c>
    </row>
    <row r="115" ht="15.75" customHeight="1">
      <c r="A115" s="27" t="s">
        <v>129</v>
      </c>
      <c r="B115" s="28">
        <f t="shared" ref="B115:Y115" si="25">B113+B114</f>
        <v>548</v>
      </c>
      <c r="C115" s="28">
        <f t="shared" si="25"/>
        <v>548</v>
      </c>
      <c r="D115" s="28">
        <f t="shared" si="25"/>
        <v>548</v>
      </c>
      <c r="E115" s="28">
        <f t="shared" si="25"/>
        <v>548</v>
      </c>
      <c r="F115" s="28">
        <f t="shared" si="25"/>
        <v>548</v>
      </c>
      <c r="G115" s="28">
        <f t="shared" si="25"/>
        <v>548</v>
      </c>
      <c r="H115" s="28">
        <f t="shared" si="25"/>
        <v>710</v>
      </c>
      <c r="I115" s="28">
        <f t="shared" si="25"/>
        <v>710</v>
      </c>
      <c r="J115" s="28">
        <f t="shared" si="25"/>
        <v>710</v>
      </c>
      <c r="K115" s="28">
        <f t="shared" si="25"/>
        <v>710</v>
      </c>
      <c r="L115" s="28">
        <f t="shared" si="25"/>
        <v>710</v>
      </c>
      <c r="M115" s="28">
        <f t="shared" si="25"/>
        <v>710</v>
      </c>
      <c r="N115" s="28">
        <f t="shared" si="25"/>
        <v>960</v>
      </c>
      <c r="O115" s="28">
        <f t="shared" si="25"/>
        <v>960</v>
      </c>
      <c r="P115" s="28">
        <f t="shared" si="25"/>
        <v>960</v>
      </c>
      <c r="Q115" s="28">
        <f t="shared" si="25"/>
        <v>960</v>
      </c>
      <c r="R115" s="28">
        <f t="shared" si="25"/>
        <v>960</v>
      </c>
      <c r="S115" s="28">
        <f t="shared" si="25"/>
        <v>960</v>
      </c>
      <c r="T115" s="28">
        <f t="shared" si="25"/>
        <v>960</v>
      </c>
      <c r="U115" s="28">
        <f t="shared" si="25"/>
        <v>960</v>
      </c>
      <c r="V115" s="28">
        <f t="shared" si="25"/>
        <v>960</v>
      </c>
      <c r="W115" s="28">
        <f t="shared" si="25"/>
        <v>960</v>
      </c>
      <c r="X115" s="28">
        <f t="shared" si="25"/>
        <v>960</v>
      </c>
      <c r="Y115" s="28">
        <f t="shared" si="25"/>
        <v>960</v>
      </c>
      <c r="Z115" s="28">
        <f t="shared" si="24"/>
        <v>19068</v>
      </c>
    </row>
    <row r="116" ht="15.75" customHeight="1">
      <c r="A116" s="12" t="s">
        <v>130</v>
      </c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21" t="s">
        <v>131</v>
      </c>
      <c r="B117" s="22">
        <f>Assumptions!B88</f>
        <v>150</v>
      </c>
      <c r="C117" s="22">
        <f>Assumptions!B88</f>
        <v>150</v>
      </c>
      <c r="D117" s="22">
        <f>Assumptions!B88</f>
        <v>150</v>
      </c>
      <c r="E117" s="22">
        <f>Assumptions!B88</f>
        <v>150</v>
      </c>
      <c r="F117" s="22">
        <f>Assumptions!B88</f>
        <v>150</v>
      </c>
      <c r="G117" s="22">
        <f>Assumptions!B88</f>
        <v>150</v>
      </c>
      <c r="H117" s="22">
        <f>Assumptions!B88</f>
        <v>150</v>
      </c>
      <c r="I117" s="22">
        <f>Assumptions!B88</f>
        <v>150</v>
      </c>
      <c r="J117" s="22">
        <f>Assumptions!B88</f>
        <v>150</v>
      </c>
      <c r="K117" s="22">
        <f>Assumptions!B88</f>
        <v>150</v>
      </c>
      <c r="L117" s="22">
        <f>Assumptions!B88</f>
        <v>150</v>
      </c>
      <c r="M117" s="22">
        <f>Assumptions!B88</f>
        <v>150</v>
      </c>
      <c r="N117" s="22">
        <f>Assumptions!B88</f>
        <v>150</v>
      </c>
      <c r="O117" s="22">
        <f>Assumptions!B88</f>
        <v>150</v>
      </c>
      <c r="P117" s="22">
        <f>Assumptions!B88</f>
        <v>150</v>
      </c>
      <c r="Q117" s="22">
        <f>Assumptions!B88</f>
        <v>150</v>
      </c>
      <c r="R117" s="22">
        <f>Assumptions!B88</f>
        <v>150</v>
      </c>
      <c r="S117" s="22">
        <f>Assumptions!B88</f>
        <v>150</v>
      </c>
      <c r="T117" s="22">
        <f>Assumptions!B88</f>
        <v>150</v>
      </c>
      <c r="U117" s="22">
        <f>Assumptions!B88</f>
        <v>150</v>
      </c>
      <c r="V117" s="22">
        <f>Assumptions!B88</f>
        <v>150</v>
      </c>
      <c r="W117" s="22">
        <f>Assumptions!B88</f>
        <v>150</v>
      </c>
      <c r="X117" s="22">
        <f>Assumptions!B88</f>
        <v>150</v>
      </c>
      <c r="Y117" s="22">
        <f>Assumptions!B88</f>
        <v>150</v>
      </c>
      <c r="Z117" s="22">
        <f t="shared" ref="Z117:Z122" si="26">SUM(B117:Y117)</f>
        <v>3600</v>
      </c>
    </row>
    <row r="118" ht="15.75" customHeight="1">
      <c r="A118" s="21" t="s">
        <v>132</v>
      </c>
      <c r="B118" s="22">
        <f>IF(1&gt;=7,Assumptions!B89,0)</f>
        <v>0</v>
      </c>
      <c r="C118" s="22">
        <f>IF(2&gt;=7,Assumptions!B89,0)</f>
        <v>0</v>
      </c>
      <c r="D118" s="22">
        <f>IF(3&gt;=7,Assumptions!B89,0)</f>
        <v>0</v>
      </c>
      <c r="E118" s="22">
        <f>IF(4&gt;=7,Assumptions!B89,0)</f>
        <v>0</v>
      </c>
      <c r="F118" s="22">
        <f>IF(5&gt;=7,Assumptions!B89,0)</f>
        <v>0</v>
      </c>
      <c r="G118" s="22">
        <f>IF(6&gt;=7,Assumptions!B89,0)</f>
        <v>0</v>
      </c>
      <c r="H118" s="22">
        <f>IF(7&gt;=7,Assumptions!B89,0)</f>
        <v>100</v>
      </c>
      <c r="I118" s="22">
        <f>IF(8&gt;=7,Assumptions!B89,0)</f>
        <v>100</v>
      </c>
      <c r="J118" s="22">
        <f>IF(9&gt;=7,Assumptions!B89,0)</f>
        <v>100</v>
      </c>
      <c r="K118" s="22">
        <f>IF(10&gt;=7,Assumptions!B89,0)</f>
        <v>100</v>
      </c>
      <c r="L118" s="22">
        <f>IF(11&gt;=7,Assumptions!B89,0)</f>
        <v>100</v>
      </c>
      <c r="M118" s="22">
        <f>IF(12&gt;=7,Assumptions!B89,0)</f>
        <v>100</v>
      </c>
      <c r="N118" s="22">
        <f>IF(13&gt;=7,Assumptions!B89,0)</f>
        <v>100</v>
      </c>
      <c r="O118" s="22">
        <f>IF(14&gt;=7,Assumptions!B89,0)</f>
        <v>100</v>
      </c>
      <c r="P118" s="22">
        <f>IF(15&gt;=7,Assumptions!B89,0)</f>
        <v>100</v>
      </c>
      <c r="Q118" s="22">
        <f>IF(16&gt;=7,Assumptions!B89,0)</f>
        <v>100</v>
      </c>
      <c r="R118" s="22">
        <f>IF(17&gt;=7,Assumptions!B89,0)</f>
        <v>100</v>
      </c>
      <c r="S118" s="22">
        <f>IF(18&gt;=7,Assumptions!B89,0)</f>
        <v>100</v>
      </c>
      <c r="T118" s="22">
        <f>IF(19&gt;=7,Assumptions!B89,0)</f>
        <v>100</v>
      </c>
      <c r="U118" s="22">
        <f>IF(20&gt;=7,Assumptions!B89,0)</f>
        <v>100</v>
      </c>
      <c r="V118" s="22">
        <f>IF(21&gt;=7,Assumptions!B89,0)</f>
        <v>100</v>
      </c>
      <c r="W118" s="22">
        <f>IF(22&gt;=7,Assumptions!B89,0)</f>
        <v>100</v>
      </c>
      <c r="X118" s="22">
        <f>IF(23&gt;=7,Assumptions!B89,0)</f>
        <v>100</v>
      </c>
      <c r="Y118" s="22">
        <f>IF(24&gt;=7,Assumptions!B89,0)</f>
        <v>100</v>
      </c>
      <c r="Z118" s="22">
        <f t="shared" si="26"/>
        <v>1800</v>
      </c>
    </row>
    <row r="119" ht="15.75" customHeight="1">
      <c r="A119" s="21" t="s">
        <v>133</v>
      </c>
      <c r="B119" s="22">
        <f>Assumptions!B90</f>
        <v>50</v>
      </c>
      <c r="C119" s="22">
        <f>Assumptions!B90</f>
        <v>50</v>
      </c>
      <c r="D119" s="22">
        <f>Assumptions!B90</f>
        <v>50</v>
      </c>
      <c r="E119" s="22">
        <f>Assumptions!B90</f>
        <v>50</v>
      </c>
      <c r="F119" s="22">
        <f>Assumptions!B90</f>
        <v>50</v>
      </c>
      <c r="G119" s="22">
        <f>Assumptions!B90</f>
        <v>50</v>
      </c>
      <c r="H119" s="22">
        <f>Assumptions!B90</f>
        <v>50</v>
      </c>
      <c r="I119" s="22">
        <f>Assumptions!B90</f>
        <v>50</v>
      </c>
      <c r="J119" s="22">
        <f>Assumptions!B90</f>
        <v>50</v>
      </c>
      <c r="K119" s="22">
        <f>Assumptions!B90</f>
        <v>50</v>
      </c>
      <c r="L119" s="22">
        <f>Assumptions!B90</f>
        <v>50</v>
      </c>
      <c r="M119" s="22">
        <f>Assumptions!B90</f>
        <v>50</v>
      </c>
      <c r="N119" s="22">
        <f>Assumptions!B90</f>
        <v>50</v>
      </c>
      <c r="O119" s="22">
        <f>Assumptions!B90</f>
        <v>50</v>
      </c>
      <c r="P119" s="22">
        <f>Assumptions!B90</f>
        <v>50</v>
      </c>
      <c r="Q119" s="22">
        <f>Assumptions!B90</f>
        <v>50</v>
      </c>
      <c r="R119" s="22">
        <f>Assumptions!B90</f>
        <v>50</v>
      </c>
      <c r="S119" s="22">
        <f>Assumptions!B90</f>
        <v>50</v>
      </c>
      <c r="T119" s="22">
        <f>Assumptions!B90</f>
        <v>50</v>
      </c>
      <c r="U119" s="22">
        <f>Assumptions!B90</f>
        <v>50</v>
      </c>
      <c r="V119" s="22">
        <f>Assumptions!B90</f>
        <v>50</v>
      </c>
      <c r="W119" s="22">
        <f>Assumptions!B90</f>
        <v>50</v>
      </c>
      <c r="X119" s="22">
        <f>Assumptions!B90</f>
        <v>50</v>
      </c>
      <c r="Y119" s="22">
        <f>Assumptions!B90</f>
        <v>50</v>
      </c>
      <c r="Z119" s="22">
        <f t="shared" si="26"/>
        <v>1200</v>
      </c>
    </row>
    <row r="120" ht="15.75" customHeight="1">
      <c r="A120" s="27" t="s">
        <v>134</v>
      </c>
      <c r="B120" s="28">
        <f t="shared" ref="B120:Y120" si="27">B117+B118+B119</f>
        <v>200</v>
      </c>
      <c r="C120" s="28">
        <f t="shared" si="27"/>
        <v>200</v>
      </c>
      <c r="D120" s="28">
        <f t="shared" si="27"/>
        <v>200</v>
      </c>
      <c r="E120" s="28">
        <f t="shared" si="27"/>
        <v>200</v>
      </c>
      <c r="F120" s="28">
        <f t="shared" si="27"/>
        <v>200</v>
      </c>
      <c r="G120" s="28">
        <f t="shared" si="27"/>
        <v>200</v>
      </c>
      <c r="H120" s="28">
        <f t="shared" si="27"/>
        <v>300</v>
      </c>
      <c r="I120" s="28">
        <f t="shared" si="27"/>
        <v>300</v>
      </c>
      <c r="J120" s="28">
        <f t="shared" si="27"/>
        <v>300</v>
      </c>
      <c r="K120" s="28">
        <f t="shared" si="27"/>
        <v>300</v>
      </c>
      <c r="L120" s="28">
        <f t="shared" si="27"/>
        <v>300</v>
      </c>
      <c r="M120" s="28">
        <f t="shared" si="27"/>
        <v>300</v>
      </c>
      <c r="N120" s="28">
        <f t="shared" si="27"/>
        <v>300</v>
      </c>
      <c r="O120" s="28">
        <f t="shared" si="27"/>
        <v>300</v>
      </c>
      <c r="P120" s="28">
        <f t="shared" si="27"/>
        <v>300</v>
      </c>
      <c r="Q120" s="28">
        <f t="shared" si="27"/>
        <v>300</v>
      </c>
      <c r="R120" s="28">
        <f t="shared" si="27"/>
        <v>300</v>
      </c>
      <c r="S120" s="28">
        <f t="shared" si="27"/>
        <v>300</v>
      </c>
      <c r="T120" s="28">
        <f t="shared" si="27"/>
        <v>300</v>
      </c>
      <c r="U120" s="28">
        <f t="shared" si="27"/>
        <v>300</v>
      </c>
      <c r="V120" s="28">
        <f t="shared" si="27"/>
        <v>300</v>
      </c>
      <c r="W120" s="28">
        <f t="shared" si="27"/>
        <v>300</v>
      </c>
      <c r="X120" s="28">
        <f t="shared" si="27"/>
        <v>300</v>
      </c>
      <c r="Y120" s="28">
        <f t="shared" si="27"/>
        <v>300</v>
      </c>
      <c r="Z120" s="28">
        <f t="shared" si="26"/>
        <v>6600</v>
      </c>
    </row>
    <row r="121" ht="15.75" customHeight="1">
      <c r="A121" s="7" t="s">
        <v>135</v>
      </c>
      <c r="B121" s="8">
        <f t="shared" ref="B121:Y121" si="28">0</f>
        <v>0</v>
      </c>
      <c r="C121" s="8">
        <f t="shared" si="28"/>
        <v>0</v>
      </c>
      <c r="D121" s="8">
        <f t="shared" si="28"/>
        <v>0</v>
      </c>
      <c r="E121" s="8">
        <f t="shared" si="28"/>
        <v>0</v>
      </c>
      <c r="F121" s="8">
        <f t="shared" si="28"/>
        <v>0</v>
      </c>
      <c r="G121" s="8">
        <f t="shared" si="28"/>
        <v>0</v>
      </c>
      <c r="H121" s="8">
        <f t="shared" si="28"/>
        <v>0</v>
      </c>
      <c r="I121" s="8">
        <f t="shared" si="28"/>
        <v>0</v>
      </c>
      <c r="J121" s="8">
        <f t="shared" si="28"/>
        <v>0</v>
      </c>
      <c r="K121" s="8">
        <f t="shared" si="28"/>
        <v>0</v>
      </c>
      <c r="L121" s="8">
        <f t="shared" si="28"/>
        <v>0</v>
      </c>
      <c r="M121" s="8">
        <f t="shared" si="28"/>
        <v>0</v>
      </c>
      <c r="N121" s="8">
        <f t="shared" si="28"/>
        <v>0</v>
      </c>
      <c r="O121" s="8">
        <f t="shared" si="28"/>
        <v>0</v>
      </c>
      <c r="P121" s="8">
        <f t="shared" si="28"/>
        <v>0</v>
      </c>
      <c r="Q121" s="8">
        <f t="shared" si="28"/>
        <v>0</v>
      </c>
      <c r="R121" s="8">
        <f t="shared" si="28"/>
        <v>0</v>
      </c>
      <c r="S121" s="8">
        <f t="shared" si="28"/>
        <v>0</v>
      </c>
      <c r="T121" s="8">
        <f t="shared" si="28"/>
        <v>0</v>
      </c>
      <c r="U121" s="8">
        <f t="shared" si="28"/>
        <v>0</v>
      </c>
      <c r="V121" s="8">
        <f t="shared" si="28"/>
        <v>0</v>
      </c>
      <c r="W121" s="8">
        <f t="shared" si="28"/>
        <v>0</v>
      </c>
      <c r="X121" s="8">
        <f t="shared" si="28"/>
        <v>0</v>
      </c>
      <c r="Y121" s="8">
        <f t="shared" si="28"/>
        <v>0</v>
      </c>
      <c r="Z121" s="8">
        <f t="shared" si="26"/>
        <v>0</v>
      </c>
    </row>
    <row r="122" ht="15.75" customHeight="1">
      <c r="A122" s="21" t="s">
        <v>136</v>
      </c>
      <c r="B122" s="22">
        <f>IF(1=18,Assumptions!B52,0)</f>
        <v>0</v>
      </c>
      <c r="C122" s="22">
        <f>IF(2=18,Assumptions!B52,0)</f>
        <v>0</v>
      </c>
      <c r="D122" s="22">
        <f>IF(3=18,Assumptions!B52,0)</f>
        <v>0</v>
      </c>
      <c r="E122" s="22">
        <f>IF(4=18,Assumptions!B52,0)</f>
        <v>0</v>
      </c>
      <c r="F122" s="22">
        <f>IF(5=18,Assumptions!B52,0)</f>
        <v>0</v>
      </c>
      <c r="G122" s="22">
        <f>IF(6=18,Assumptions!B52,0)</f>
        <v>0</v>
      </c>
      <c r="H122" s="22">
        <f>IF(7=18,Assumptions!B52,0)</f>
        <v>0</v>
      </c>
      <c r="I122" s="22">
        <f>IF(8=18,Assumptions!B52,0)</f>
        <v>0</v>
      </c>
      <c r="J122" s="22">
        <f>IF(9=18,Assumptions!B52,0)</f>
        <v>0</v>
      </c>
      <c r="K122" s="22">
        <f>IF(10=18,Assumptions!B52,0)</f>
        <v>0</v>
      </c>
      <c r="L122" s="22">
        <f>IF(11=18,Assumptions!B52,0)</f>
        <v>0</v>
      </c>
      <c r="M122" s="22">
        <f>IF(12=18,Assumptions!B52,0)</f>
        <v>0</v>
      </c>
      <c r="N122" s="22">
        <f>IF(13=18,Assumptions!B52,0)</f>
        <v>0</v>
      </c>
      <c r="O122" s="22">
        <f>IF(14=18,Assumptions!B52,0)</f>
        <v>0</v>
      </c>
      <c r="P122" s="22">
        <f>IF(15=18,Assumptions!B52,0)</f>
        <v>0</v>
      </c>
      <c r="Q122" s="22">
        <f>IF(16=18,Assumptions!B52,0)</f>
        <v>0</v>
      </c>
      <c r="R122" s="22">
        <f>IF(17=18,Assumptions!B52,0)</f>
        <v>0</v>
      </c>
      <c r="S122" s="22">
        <f>IF(18=18,Assumptions!B52,0)</f>
        <v>3500</v>
      </c>
      <c r="T122" s="22">
        <f>IF(19=18,Assumptions!B52,0)</f>
        <v>0</v>
      </c>
      <c r="U122" s="22">
        <f>IF(20=18,Assumptions!B52,0)</f>
        <v>0</v>
      </c>
      <c r="V122" s="22">
        <f>IF(21=18,Assumptions!B52,0)</f>
        <v>0</v>
      </c>
      <c r="W122" s="22">
        <f>IF(22=18,Assumptions!B52,0)</f>
        <v>0</v>
      </c>
      <c r="X122" s="22">
        <f>IF(23=18,Assumptions!B52,0)</f>
        <v>0</v>
      </c>
      <c r="Y122" s="22">
        <f>IF(24=18,Assumptions!B52,0)</f>
        <v>0</v>
      </c>
      <c r="Z122" s="22">
        <f t="shared" si="26"/>
        <v>3500</v>
      </c>
    </row>
    <row r="123" ht="15.75" customHeight="1">
      <c r="A123" s="11"/>
    </row>
    <row r="124" ht="15.75" customHeight="1">
      <c r="A124" s="9" t="s">
        <v>137</v>
      </c>
      <c r="B124" s="10">
        <f t="shared" ref="B124:Y124" si="29">B78+B81+B86+B111+B115+B120+B121+B122</f>
        <v>13617</v>
      </c>
      <c r="C124" s="10">
        <f t="shared" si="29"/>
        <v>13617</v>
      </c>
      <c r="D124" s="10">
        <f t="shared" si="29"/>
        <v>14167</v>
      </c>
      <c r="E124" s="10">
        <f t="shared" si="29"/>
        <v>17493</v>
      </c>
      <c r="F124" s="10">
        <f t="shared" si="29"/>
        <v>18007</v>
      </c>
      <c r="G124" s="10">
        <f t="shared" si="29"/>
        <v>20719</v>
      </c>
      <c r="H124" s="10">
        <f t="shared" si="29"/>
        <v>21381</v>
      </c>
      <c r="I124" s="10">
        <f t="shared" si="29"/>
        <v>21381</v>
      </c>
      <c r="J124" s="10">
        <f t="shared" si="29"/>
        <v>21581</v>
      </c>
      <c r="K124" s="10">
        <f t="shared" si="29"/>
        <v>21781</v>
      </c>
      <c r="L124" s="10">
        <f t="shared" si="29"/>
        <v>21981</v>
      </c>
      <c r="M124" s="10">
        <f t="shared" si="29"/>
        <v>21981</v>
      </c>
      <c r="N124" s="10">
        <f t="shared" si="29"/>
        <v>22631</v>
      </c>
      <c r="O124" s="10">
        <f t="shared" si="29"/>
        <v>22631</v>
      </c>
      <c r="P124" s="10">
        <f t="shared" si="29"/>
        <v>22831</v>
      </c>
      <c r="Q124" s="10">
        <f t="shared" si="29"/>
        <v>22831</v>
      </c>
      <c r="R124" s="10">
        <f t="shared" si="29"/>
        <v>23031</v>
      </c>
      <c r="S124" s="10">
        <f t="shared" si="29"/>
        <v>34697</v>
      </c>
      <c r="T124" s="10">
        <f t="shared" si="29"/>
        <v>31497</v>
      </c>
      <c r="U124" s="10">
        <f t="shared" si="29"/>
        <v>31497</v>
      </c>
      <c r="V124" s="10">
        <f t="shared" si="29"/>
        <v>31797</v>
      </c>
      <c r="W124" s="10">
        <f t="shared" si="29"/>
        <v>31797</v>
      </c>
      <c r="X124" s="10">
        <f t="shared" si="29"/>
        <v>31997</v>
      </c>
      <c r="Y124" s="10">
        <f t="shared" si="29"/>
        <v>31997</v>
      </c>
      <c r="Z124" s="10">
        <f t="shared" ref="Z124:Z125" si="30">SUM(B124:Y124)</f>
        <v>566940</v>
      </c>
    </row>
    <row r="125" ht="15.75" customHeight="1">
      <c r="A125" s="21" t="s">
        <v>138</v>
      </c>
      <c r="B125" s="22">
        <f>ROUND(B124*Assumptions!B93,0)</f>
        <v>1362</v>
      </c>
      <c r="C125" s="22">
        <f>ROUND(C124*Assumptions!B93,0)</f>
        <v>1362</v>
      </c>
      <c r="D125" s="22">
        <f>ROUND(D124*Assumptions!B93,0)</f>
        <v>1417</v>
      </c>
      <c r="E125" s="22">
        <f>ROUND(E124*Assumptions!B93,0)</f>
        <v>1749</v>
      </c>
      <c r="F125" s="22">
        <f>ROUND(F124*Assumptions!B93,0)</f>
        <v>1801</v>
      </c>
      <c r="G125" s="22">
        <f>ROUND(G124*Assumptions!B93,0)</f>
        <v>2072</v>
      </c>
      <c r="H125" s="22">
        <f>ROUND(H124*Assumptions!B93,0)</f>
        <v>2138</v>
      </c>
      <c r="I125" s="22">
        <f>ROUND(I124*Assumptions!B93,0)</f>
        <v>2138</v>
      </c>
      <c r="J125" s="22">
        <f>ROUND(J124*Assumptions!B93,0)</f>
        <v>2158</v>
      </c>
      <c r="K125" s="22">
        <f>ROUND(K124*Assumptions!B93,0)</f>
        <v>2178</v>
      </c>
      <c r="L125" s="22">
        <f>ROUND(L124*Assumptions!B93,0)</f>
        <v>2198</v>
      </c>
      <c r="M125" s="22">
        <f>ROUND(M124*Assumptions!B93,0)</f>
        <v>2198</v>
      </c>
      <c r="N125" s="22">
        <f>ROUND(N124*Assumptions!B93,0)</f>
        <v>2263</v>
      </c>
      <c r="O125" s="22">
        <f>ROUND(O124*Assumptions!B93,0)</f>
        <v>2263</v>
      </c>
      <c r="P125" s="22">
        <f>ROUND(P124*Assumptions!B93,0)</f>
        <v>2283</v>
      </c>
      <c r="Q125" s="22">
        <f>ROUND(Q124*Assumptions!B93,0)</f>
        <v>2283</v>
      </c>
      <c r="R125" s="22">
        <f>ROUND(R124*Assumptions!B93,0)</f>
        <v>2303</v>
      </c>
      <c r="S125" s="22">
        <f>ROUND(S124*Assumptions!B93,0)</f>
        <v>3470</v>
      </c>
      <c r="T125" s="22">
        <f>ROUND(T124*Assumptions!B93,0)</f>
        <v>3150</v>
      </c>
      <c r="U125" s="22">
        <f>ROUND(U124*Assumptions!B93,0)</f>
        <v>3150</v>
      </c>
      <c r="V125" s="22">
        <f>ROUND(V124*Assumptions!B93,0)</f>
        <v>3180</v>
      </c>
      <c r="W125" s="22">
        <f>ROUND(W124*Assumptions!B93,0)</f>
        <v>3180</v>
      </c>
      <c r="X125" s="22">
        <f>ROUND(X124*Assumptions!B93,0)</f>
        <v>3200</v>
      </c>
      <c r="Y125" s="22">
        <f>ROUND(Y124*Assumptions!B93,0)</f>
        <v>3200</v>
      </c>
      <c r="Z125" s="22">
        <f t="shared" si="30"/>
        <v>56696</v>
      </c>
    </row>
    <row r="126" ht="15.75" customHeight="1">
      <c r="A126" s="11"/>
    </row>
    <row r="127" ht="15.75" customHeight="1">
      <c r="A127" s="23" t="s">
        <v>139</v>
      </c>
      <c r="B127" s="24">
        <f t="shared" ref="B127:Y127" si="31">B124+B125</f>
        <v>14979</v>
      </c>
      <c r="C127" s="24">
        <f t="shared" si="31"/>
        <v>14979</v>
      </c>
      <c r="D127" s="24">
        <f t="shared" si="31"/>
        <v>15584</v>
      </c>
      <c r="E127" s="24">
        <f t="shared" si="31"/>
        <v>19242</v>
      </c>
      <c r="F127" s="24">
        <f t="shared" si="31"/>
        <v>19808</v>
      </c>
      <c r="G127" s="24">
        <f t="shared" si="31"/>
        <v>22791</v>
      </c>
      <c r="H127" s="24">
        <f t="shared" si="31"/>
        <v>23519</v>
      </c>
      <c r="I127" s="24">
        <f t="shared" si="31"/>
        <v>23519</v>
      </c>
      <c r="J127" s="24">
        <f t="shared" si="31"/>
        <v>23739</v>
      </c>
      <c r="K127" s="24">
        <f t="shared" si="31"/>
        <v>23959</v>
      </c>
      <c r="L127" s="24">
        <f t="shared" si="31"/>
        <v>24179</v>
      </c>
      <c r="M127" s="24">
        <f t="shared" si="31"/>
        <v>24179</v>
      </c>
      <c r="N127" s="24">
        <f t="shared" si="31"/>
        <v>24894</v>
      </c>
      <c r="O127" s="24">
        <f t="shared" si="31"/>
        <v>24894</v>
      </c>
      <c r="P127" s="24">
        <f t="shared" si="31"/>
        <v>25114</v>
      </c>
      <c r="Q127" s="24">
        <f t="shared" si="31"/>
        <v>25114</v>
      </c>
      <c r="R127" s="24">
        <f t="shared" si="31"/>
        <v>25334</v>
      </c>
      <c r="S127" s="24">
        <f t="shared" si="31"/>
        <v>38167</v>
      </c>
      <c r="T127" s="24">
        <f t="shared" si="31"/>
        <v>34647</v>
      </c>
      <c r="U127" s="24">
        <f t="shared" si="31"/>
        <v>34647</v>
      </c>
      <c r="V127" s="24">
        <f t="shared" si="31"/>
        <v>34977</v>
      </c>
      <c r="W127" s="24">
        <f t="shared" si="31"/>
        <v>34977</v>
      </c>
      <c r="X127" s="24">
        <f t="shared" si="31"/>
        <v>35197</v>
      </c>
      <c r="Y127" s="24">
        <f t="shared" si="31"/>
        <v>35197</v>
      </c>
      <c r="Z127" s="24">
        <f>SUM(B127:Y127)</f>
        <v>623636</v>
      </c>
    </row>
    <row r="128" ht="15.75" customHeight="1">
      <c r="A128" s="11"/>
    </row>
    <row r="129" ht="15.75" customHeight="1">
      <c r="A129" s="5" t="s">
        <v>140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2" t="s">
        <v>141</v>
      </c>
    </row>
    <row r="131" ht="15.75" customHeight="1">
      <c r="A131" s="21" t="s">
        <v>142</v>
      </c>
      <c r="B131" s="22">
        <f t="shared" ref="B131:Y131" si="32">B47</f>
        <v>0</v>
      </c>
      <c r="C131" s="22">
        <f t="shared" si="32"/>
        <v>0</v>
      </c>
      <c r="D131" s="22">
        <f t="shared" si="32"/>
        <v>0</v>
      </c>
      <c r="E131" s="22">
        <f t="shared" si="32"/>
        <v>4805</v>
      </c>
      <c r="F131" s="22">
        <f t="shared" si="32"/>
        <v>8401</v>
      </c>
      <c r="G131" s="22">
        <f t="shared" si="32"/>
        <v>13002</v>
      </c>
      <c r="H131" s="22">
        <f t="shared" si="32"/>
        <v>20108</v>
      </c>
      <c r="I131" s="22">
        <f t="shared" si="32"/>
        <v>27535</v>
      </c>
      <c r="J131" s="22">
        <f t="shared" si="32"/>
        <v>34847</v>
      </c>
      <c r="K131" s="22">
        <f t="shared" si="32"/>
        <v>44412</v>
      </c>
      <c r="L131" s="22">
        <f t="shared" si="32"/>
        <v>53723</v>
      </c>
      <c r="M131" s="22">
        <f t="shared" si="32"/>
        <v>63456</v>
      </c>
      <c r="N131" s="22">
        <f t="shared" si="32"/>
        <v>75318</v>
      </c>
      <c r="O131" s="22">
        <f t="shared" si="32"/>
        <v>86877</v>
      </c>
      <c r="P131" s="22">
        <f t="shared" si="32"/>
        <v>99140</v>
      </c>
      <c r="Q131" s="22">
        <f t="shared" si="32"/>
        <v>115464</v>
      </c>
      <c r="R131" s="22">
        <f t="shared" si="32"/>
        <v>131988</v>
      </c>
      <c r="S131" s="22">
        <f t="shared" si="32"/>
        <v>148723</v>
      </c>
      <c r="T131" s="22">
        <f t="shared" si="32"/>
        <v>165237</v>
      </c>
      <c r="U131" s="22">
        <f t="shared" si="32"/>
        <v>182390</v>
      </c>
      <c r="V131" s="22">
        <f t="shared" si="32"/>
        <v>203539</v>
      </c>
      <c r="W131" s="22">
        <f t="shared" si="32"/>
        <v>224620</v>
      </c>
      <c r="X131" s="22">
        <f t="shared" si="32"/>
        <v>245655</v>
      </c>
      <c r="Y131" s="22">
        <f t="shared" si="32"/>
        <v>266236</v>
      </c>
      <c r="Z131" s="22">
        <f t="shared" ref="Z131:Z133" si="34">SUM(B131:Y131)</f>
        <v>2215476</v>
      </c>
    </row>
    <row r="132" ht="15.75" customHeight="1">
      <c r="A132" s="21" t="s">
        <v>143</v>
      </c>
      <c r="B132" s="22">
        <f t="shared" ref="B132:Y132" si="33">-B64</f>
        <v>0</v>
      </c>
      <c r="C132" s="22">
        <f t="shared" si="33"/>
        <v>0</v>
      </c>
      <c r="D132" s="22">
        <f t="shared" si="33"/>
        <v>0</v>
      </c>
      <c r="E132" s="22">
        <f t="shared" si="33"/>
        <v>-2278</v>
      </c>
      <c r="F132" s="22">
        <f t="shared" si="33"/>
        <v>-4064</v>
      </c>
      <c r="G132" s="22">
        <f t="shared" si="33"/>
        <v>-6393</v>
      </c>
      <c r="H132" s="22">
        <f t="shared" si="33"/>
        <v>-9980</v>
      </c>
      <c r="I132" s="22">
        <f t="shared" si="33"/>
        <v>-13838</v>
      </c>
      <c r="J132" s="22">
        <f t="shared" si="33"/>
        <v>-17364</v>
      </c>
      <c r="K132" s="22">
        <f t="shared" si="33"/>
        <v>-22481</v>
      </c>
      <c r="L132" s="22">
        <f t="shared" si="33"/>
        <v>-27598</v>
      </c>
      <c r="M132" s="22">
        <f t="shared" si="33"/>
        <v>-32676</v>
      </c>
      <c r="N132" s="22">
        <f t="shared" si="33"/>
        <v>-39319</v>
      </c>
      <c r="O132" s="22">
        <f t="shared" si="33"/>
        <v>-45956</v>
      </c>
      <c r="P132" s="22">
        <f t="shared" si="33"/>
        <v>-52935</v>
      </c>
      <c r="Q132" s="22">
        <f t="shared" si="33"/>
        <v>-62651</v>
      </c>
      <c r="R132" s="22">
        <f t="shared" si="33"/>
        <v>-72424</v>
      </c>
      <c r="S132" s="22">
        <f t="shared" si="33"/>
        <v>-82180</v>
      </c>
      <c r="T132" s="22">
        <f t="shared" si="33"/>
        <v>-91941</v>
      </c>
      <c r="U132" s="22">
        <f t="shared" si="33"/>
        <v>-102036</v>
      </c>
      <c r="V132" s="22">
        <f t="shared" si="33"/>
        <v>-114885</v>
      </c>
      <c r="W132" s="22">
        <f t="shared" si="33"/>
        <v>-127732</v>
      </c>
      <c r="X132" s="22">
        <f t="shared" si="33"/>
        <v>-140576</v>
      </c>
      <c r="Y132" s="22">
        <f t="shared" si="33"/>
        <v>-153229</v>
      </c>
      <c r="Z132" s="22">
        <f t="shared" si="34"/>
        <v>-1222536</v>
      </c>
    </row>
    <row r="133" ht="15.75" customHeight="1">
      <c r="A133" s="9" t="s">
        <v>144</v>
      </c>
      <c r="B133" s="10">
        <f t="shared" ref="B133:Y133" si="35">B66</f>
        <v>0</v>
      </c>
      <c r="C133" s="10">
        <f t="shared" si="35"/>
        <v>0</v>
      </c>
      <c r="D133" s="10">
        <f t="shared" si="35"/>
        <v>0</v>
      </c>
      <c r="E133" s="10">
        <f t="shared" si="35"/>
        <v>2527</v>
      </c>
      <c r="F133" s="10">
        <f t="shared" si="35"/>
        <v>4337</v>
      </c>
      <c r="G133" s="10">
        <f t="shared" si="35"/>
        <v>6609</v>
      </c>
      <c r="H133" s="10">
        <f t="shared" si="35"/>
        <v>10128</v>
      </c>
      <c r="I133" s="10">
        <f t="shared" si="35"/>
        <v>13697</v>
      </c>
      <c r="J133" s="10">
        <f t="shared" si="35"/>
        <v>17483</v>
      </c>
      <c r="K133" s="10">
        <f t="shared" si="35"/>
        <v>21931</v>
      </c>
      <c r="L133" s="10">
        <f t="shared" si="35"/>
        <v>26125</v>
      </c>
      <c r="M133" s="10">
        <f t="shared" si="35"/>
        <v>30780</v>
      </c>
      <c r="N133" s="10">
        <f t="shared" si="35"/>
        <v>35999</v>
      </c>
      <c r="O133" s="10">
        <f t="shared" si="35"/>
        <v>40921</v>
      </c>
      <c r="P133" s="10">
        <f t="shared" si="35"/>
        <v>46205</v>
      </c>
      <c r="Q133" s="10">
        <f t="shared" si="35"/>
        <v>52813</v>
      </c>
      <c r="R133" s="10">
        <f t="shared" si="35"/>
        <v>59564</v>
      </c>
      <c r="S133" s="10">
        <f t="shared" si="35"/>
        <v>66543</v>
      </c>
      <c r="T133" s="10">
        <f t="shared" si="35"/>
        <v>73296</v>
      </c>
      <c r="U133" s="10">
        <f t="shared" si="35"/>
        <v>80354</v>
      </c>
      <c r="V133" s="10">
        <f t="shared" si="35"/>
        <v>88654</v>
      </c>
      <c r="W133" s="10">
        <f t="shared" si="35"/>
        <v>96888</v>
      </c>
      <c r="X133" s="10">
        <f t="shared" si="35"/>
        <v>105079</v>
      </c>
      <c r="Y133" s="10">
        <f t="shared" si="35"/>
        <v>113007</v>
      </c>
      <c r="Z133" s="10">
        <f t="shared" si="34"/>
        <v>992940</v>
      </c>
    </row>
    <row r="134" ht="15.75" customHeight="1">
      <c r="A134" s="7" t="s">
        <v>145</v>
      </c>
      <c r="B134" s="25">
        <f t="shared" ref="B134:Z134" si="36">IF(B47&gt;0,B66/B47,0)</f>
        <v>0</v>
      </c>
      <c r="C134" s="25">
        <f t="shared" si="36"/>
        <v>0</v>
      </c>
      <c r="D134" s="25">
        <f t="shared" si="36"/>
        <v>0</v>
      </c>
      <c r="E134" s="25">
        <f t="shared" si="36"/>
        <v>0.5259105099</v>
      </c>
      <c r="F134" s="25">
        <f t="shared" si="36"/>
        <v>0.5162480657</v>
      </c>
      <c r="G134" s="25">
        <f t="shared" si="36"/>
        <v>0.5083064144</v>
      </c>
      <c r="H134" s="25">
        <f t="shared" si="36"/>
        <v>0.5036801273</v>
      </c>
      <c r="I134" s="25">
        <f t="shared" si="36"/>
        <v>0.4974396223</v>
      </c>
      <c r="J134" s="25">
        <f t="shared" si="36"/>
        <v>0.5017074641</v>
      </c>
      <c r="K134" s="25">
        <f t="shared" si="36"/>
        <v>0.4938079798</v>
      </c>
      <c r="L134" s="25">
        <f t="shared" si="36"/>
        <v>0.4862907879</v>
      </c>
      <c r="M134" s="25">
        <f t="shared" si="36"/>
        <v>0.4850605144</v>
      </c>
      <c r="N134" s="25">
        <f t="shared" si="36"/>
        <v>0.4779601158</v>
      </c>
      <c r="O134" s="25">
        <f t="shared" si="36"/>
        <v>0.4710222498</v>
      </c>
      <c r="P134" s="25">
        <f t="shared" si="36"/>
        <v>0.4660580997</v>
      </c>
      <c r="Q134" s="25">
        <f t="shared" si="36"/>
        <v>0.4573979769</v>
      </c>
      <c r="R134" s="25">
        <f t="shared" si="36"/>
        <v>0.45128345</v>
      </c>
      <c r="S134" s="25">
        <f t="shared" si="36"/>
        <v>0.4474291132</v>
      </c>
      <c r="T134" s="25">
        <f t="shared" si="36"/>
        <v>0.4435810381</v>
      </c>
      <c r="U134" s="25">
        <f t="shared" si="36"/>
        <v>0.4405614343</v>
      </c>
      <c r="V134" s="25">
        <f t="shared" si="36"/>
        <v>0.4355627177</v>
      </c>
      <c r="W134" s="25">
        <f t="shared" si="36"/>
        <v>0.4313418217</v>
      </c>
      <c r="X134" s="25">
        <f t="shared" si="36"/>
        <v>0.4277503002</v>
      </c>
      <c r="Y134" s="25">
        <f t="shared" si="36"/>
        <v>0.4244617557</v>
      </c>
      <c r="Z134" s="25">
        <f t="shared" si="36"/>
        <v>0.4481835958</v>
      </c>
    </row>
    <row r="135" ht="15.75" customHeight="1">
      <c r="A135" s="17" t="s">
        <v>146</v>
      </c>
      <c r="B135" s="18">
        <f t="shared" ref="B135:Y135" si="37">-B127</f>
        <v>-14979</v>
      </c>
      <c r="C135" s="18">
        <f t="shared" si="37"/>
        <v>-14979</v>
      </c>
      <c r="D135" s="18">
        <f t="shared" si="37"/>
        <v>-15584</v>
      </c>
      <c r="E135" s="18">
        <f t="shared" si="37"/>
        <v>-19242</v>
      </c>
      <c r="F135" s="18">
        <f t="shared" si="37"/>
        <v>-19808</v>
      </c>
      <c r="G135" s="18">
        <f t="shared" si="37"/>
        <v>-22791</v>
      </c>
      <c r="H135" s="18">
        <f t="shared" si="37"/>
        <v>-23519</v>
      </c>
      <c r="I135" s="18">
        <f t="shared" si="37"/>
        <v>-23519</v>
      </c>
      <c r="J135" s="18">
        <f t="shared" si="37"/>
        <v>-23739</v>
      </c>
      <c r="K135" s="18">
        <f t="shared" si="37"/>
        <v>-23959</v>
      </c>
      <c r="L135" s="18">
        <f t="shared" si="37"/>
        <v>-24179</v>
      </c>
      <c r="M135" s="18">
        <f t="shared" si="37"/>
        <v>-24179</v>
      </c>
      <c r="N135" s="18">
        <f t="shared" si="37"/>
        <v>-24894</v>
      </c>
      <c r="O135" s="18">
        <f t="shared" si="37"/>
        <v>-24894</v>
      </c>
      <c r="P135" s="18">
        <f t="shared" si="37"/>
        <v>-25114</v>
      </c>
      <c r="Q135" s="18">
        <f t="shared" si="37"/>
        <v>-25114</v>
      </c>
      <c r="R135" s="18">
        <f t="shared" si="37"/>
        <v>-25334</v>
      </c>
      <c r="S135" s="18">
        <f t="shared" si="37"/>
        <v>-38167</v>
      </c>
      <c r="T135" s="18">
        <f t="shared" si="37"/>
        <v>-34647</v>
      </c>
      <c r="U135" s="18">
        <f t="shared" si="37"/>
        <v>-34647</v>
      </c>
      <c r="V135" s="18">
        <f t="shared" si="37"/>
        <v>-34977</v>
      </c>
      <c r="W135" s="18">
        <f t="shared" si="37"/>
        <v>-34977</v>
      </c>
      <c r="X135" s="18">
        <f t="shared" si="37"/>
        <v>-35197</v>
      </c>
      <c r="Y135" s="18">
        <f t="shared" si="37"/>
        <v>-35197</v>
      </c>
      <c r="Z135" s="18">
        <f t="shared" ref="Z135:Z136" si="39">SUM(B135:Y135)</f>
        <v>-623636</v>
      </c>
    </row>
    <row r="136" ht="15.75" customHeight="1">
      <c r="A136" s="23" t="s">
        <v>147</v>
      </c>
      <c r="B136" s="24">
        <f t="shared" ref="B136:Y136" si="38">B66-B127</f>
        <v>-14979</v>
      </c>
      <c r="C136" s="24">
        <f t="shared" si="38"/>
        <v>-14979</v>
      </c>
      <c r="D136" s="24">
        <f t="shared" si="38"/>
        <v>-15584</v>
      </c>
      <c r="E136" s="24">
        <f t="shared" si="38"/>
        <v>-16715</v>
      </c>
      <c r="F136" s="24">
        <f t="shared" si="38"/>
        <v>-15471</v>
      </c>
      <c r="G136" s="24">
        <f t="shared" si="38"/>
        <v>-16182</v>
      </c>
      <c r="H136" s="24">
        <f t="shared" si="38"/>
        <v>-13391</v>
      </c>
      <c r="I136" s="24">
        <f t="shared" si="38"/>
        <v>-9822</v>
      </c>
      <c r="J136" s="24">
        <f t="shared" si="38"/>
        <v>-6256</v>
      </c>
      <c r="K136" s="24">
        <f t="shared" si="38"/>
        <v>-2028</v>
      </c>
      <c r="L136" s="24">
        <f t="shared" si="38"/>
        <v>1946</v>
      </c>
      <c r="M136" s="24">
        <f t="shared" si="38"/>
        <v>6601</v>
      </c>
      <c r="N136" s="24">
        <f t="shared" si="38"/>
        <v>11105</v>
      </c>
      <c r="O136" s="24">
        <f t="shared" si="38"/>
        <v>16027</v>
      </c>
      <c r="P136" s="24">
        <f t="shared" si="38"/>
        <v>21091</v>
      </c>
      <c r="Q136" s="24">
        <f t="shared" si="38"/>
        <v>27699</v>
      </c>
      <c r="R136" s="24">
        <f t="shared" si="38"/>
        <v>34230</v>
      </c>
      <c r="S136" s="24">
        <f t="shared" si="38"/>
        <v>28376</v>
      </c>
      <c r="T136" s="24">
        <f t="shared" si="38"/>
        <v>38649</v>
      </c>
      <c r="U136" s="24">
        <f t="shared" si="38"/>
        <v>45707</v>
      </c>
      <c r="V136" s="24">
        <f t="shared" si="38"/>
        <v>53677</v>
      </c>
      <c r="W136" s="24">
        <f t="shared" si="38"/>
        <v>61911</v>
      </c>
      <c r="X136" s="24">
        <f t="shared" si="38"/>
        <v>69882</v>
      </c>
      <c r="Y136" s="24">
        <f t="shared" si="38"/>
        <v>77810</v>
      </c>
      <c r="Z136" s="24">
        <f t="shared" si="39"/>
        <v>369304</v>
      </c>
    </row>
    <row r="137" ht="15.75" customHeight="1">
      <c r="A137" s="7" t="s">
        <v>148</v>
      </c>
      <c r="B137" s="25">
        <f t="shared" ref="B137:Z137" si="40">IF(B47&gt;0,B136/B47,0)</f>
        <v>0</v>
      </c>
      <c r="C137" s="25">
        <f t="shared" si="40"/>
        <v>0</v>
      </c>
      <c r="D137" s="25">
        <f t="shared" si="40"/>
        <v>0</v>
      </c>
      <c r="E137" s="25">
        <f t="shared" si="40"/>
        <v>-3.478668054</v>
      </c>
      <c r="F137" s="25">
        <f t="shared" si="40"/>
        <v>-1.84156648</v>
      </c>
      <c r="G137" s="25">
        <f t="shared" si="40"/>
        <v>-1.244577757</v>
      </c>
      <c r="H137" s="25">
        <f t="shared" si="40"/>
        <v>-0.6659538492</v>
      </c>
      <c r="I137" s="25">
        <f t="shared" si="40"/>
        <v>-0.3567096423</v>
      </c>
      <c r="J137" s="25">
        <f t="shared" si="40"/>
        <v>-0.1795276494</v>
      </c>
      <c r="K137" s="25">
        <f t="shared" si="40"/>
        <v>-0.04566333423</v>
      </c>
      <c r="L137" s="25">
        <f t="shared" si="40"/>
        <v>0.03622284683</v>
      </c>
      <c r="M137" s="25">
        <f t="shared" si="40"/>
        <v>0.1040248361</v>
      </c>
      <c r="N137" s="25">
        <f t="shared" si="40"/>
        <v>0.1474415146</v>
      </c>
      <c r="O137" s="25">
        <f t="shared" si="40"/>
        <v>0.1844792062</v>
      </c>
      <c r="P137" s="25">
        <f t="shared" si="40"/>
        <v>0.2127395602</v>
      </c>
      <c r="Q137" s="25">
        <f t="shared" si="40"/>
        <v>0.2398929536</v>
      </c>
      <c r="R137" s="25">
        <f t="shared" si="40"/>
        <v>0.2593417583</v>
      </c>
      <c r="S137" s="25">
        <f t="shared" si="40"/>
        <v>0.1907976574</v>
      </c>
      <c r="T137" s="25">
        <f t="shared" si="40"/>
        <v>0.2339003976</v>
      </c>
      <c r="U137" s="25">
        <f t="shared" si="40"/>
        <v>0.2506003619</v>
      </c>
      <c r="V137" s="25">
        <f t="shared" si="40"/>
        <v>0.2637185011</v>
      </c>
      <c r="W137" s="25">
        <f t="shared" si="40"/>
        <v>0.2756255008</v>
      </c>
      <c r="X137" s="25">
        <f t="shared" si="40"/>
        <v>0.2844721255</v>
      </c>
      <c r="Y137" s="25">
        <f t="shared" si="40"/>
        <v>0.2922594991</v>
      </c>
      <c r="Z137" s="25">
        <f t="shared" si="40"/>
        <v>0.1666928461</v>
      </c>
    </row>
    <row r="138" ht="15.75" customHeight="1">
      <c r="A138" s="11"/>
    </row>
    <row r="139" ht="15.75" customHeight="1">
      <c r="A139" s="5" t="s">
        <v>149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21" t="s">
        <v>150</v>
      </c>
      <c r="B140" s="22">
        <f>IF(1=1,Assumptions!B102,0)</f>
        <v>2500</v>
      </c>
      <c r="C140" s="22">
        <f>IF(2=1,Assumptions!B102,0)</f>
        <v>0</v>
      </c>
      <c r="D140" s="22">
        <f>IF(3=1,Assumptions!B102,0)</f>
        <v>0</v>
      </c>
      <c r="E140" s="22">
        <f>IF(4=1,Assumptions!B102,0)</f>
        <v>0</v>
      </c>
      <c r="F140" s="22">
        <f>IF(5=1,Assumptions!B102,0)</f>
        <v>0</v>
      </c>
      <c r="G140" s="22">
        <f>IF(6=1,Assumptions!B102,0)</f>
        <v>0</v>
      </c>
      <c r="H140" s="22">
        <f>IF(7=1,Assumptions!B102,0)</f>
        <v>0</v>
      </c>
      <c r="I140" s="22">
        <f>IF(8=1,Assumptions!B102,0)</f>
        <v>0</v>
      </c>
      <c r="J140" s="22">
        <f>IF(9=1,Assumptions!B102,0)</f>
        <v>0</v>
      </c>
      <c r="K140" s="22">
        <f>IF(10=1,Assumptions!B102,0)</f>
        <v>0</v>
      </c>
      <c r="L140" s="22">
        <f>IF(11=1,Assumptions!B102,0)</f>
        <v>0</v>
      </c>
      <c r="M140" s="22">
        <f>IF(12=1,Assumptions!B102,0)</f>
        <v>0</v>
      </c>
      <c r="N140" s="22">
        <f>IF(13=1,Assumptions!B102,0)</f>
        <v>0</v>
      </c>
      <c r="O140" s="22">
        <f>IF(14=1,Assumptions!B102,0)</f>
        <v>0</v>
      </c>
      <c r="P140" s="22">
        <f>IF(15=1,Assumptions!B102,0)</f>
        <v>0</v>
      </c>
      <c r="Q140" s="22">
        <f>IF(16=1,Assumptions!B102,0)</f>
        <v>0</v>
      </c>
      <c r="R140" s="22">
        <f>IF(17=1,Assumptions!B102,0)</f>
        <v>0</v>
      </c>
      <c r="S140" s="22">
        <f>IF(18=1,Assumptions!B102,0)</f>
        <v>0</v>
      </c>
      <c r="T140" s="22">
        <f>IF(19=1,Assumptions!B102,0)</f>
        <v>0</v>
      </c>
      <c r="U140" s="22">
        <f>IF(20=1,Assumptions!B102,0)</f>
        <v>0</v>
      </c>
      <c r="V140" s="22">
        <f>IF(21=1,Assumptions!B102,0)</f>
        <v>0</v>
      </c>
      <c r="W140" s="22">
        <f>IF(22=1,Assumptions!B102,0)</f>
        <v>0</v>
      </c>
      <c r="X140" s="22">
        <f>IF(23=1,Assumptions!B102,0)</f>
        <v>0</v>
      </c>
      <c r="Y140" s="22">
        <f>IF(24=1,Assumptions!B102,0)</f>
        <v>0</v>
      </c>
      <c r="Z140" s="22">
        <f t="shared" ref="Z140:Z160" si="41">SUM(B140:Y140)</f>
        <v>2500</v>
      </c>
    </row>
    <row r="141" ht="15.75" customHeight="1">
      <c r="A141" s="21" t="s">
        <v>151</v>
      </c>
      <c r="B141" s="22">
        <f>IF(1=1,Assumptions!B103,0)</f>
        <v>3500</v>
      </c>
      <c r="C141" s="22">
        <f>IF(2=1,Assumptions!B103,0)</f>
        <v>0</v>
      </c>
      <c r="D141" s="22">
        <f>IF(3=1,Assumptions!B103,0)</f>
        <v>0</v>
      </c>
      <c r="E141" s="22">
        <f>IF(4=1,Assumptions!B103,0)</f>
        <v>0</v>
      </c>
      <c r="F141" s="22">
        <f>IF(5=1,Assumptions!B103,0)</f>
        <v>0</v>
      </c>
      <c r="G141" s="22">
        <f>IF(6=1,Assumptions!B103,0)</f>
        <v>0</v>
      </c>
      <c r="H141" s="22">
        <f>IF(7=1,Assumptions!B103,0)</f>
        <v>0</v>
      </c>
      <c r="I141" s="22">
        <f>IF(8=1,Assumptions!B103,0)</f>
        <v>0</v>
      </c>
      <c r="J141" s="22">
        <f>IF(9=1,Assumptions!B103,0)</f>
        <v>0</v>
      </c>
      <c r="K141" s="22">
        <f>IF(10=1,Assumptions!B103,0)</f>
        <v>0</v>
      </c>
      <c r="L141" s="22">
        <f>IF(11=1,Assumptions!B103,0)</f>
        <v>0</v>
      </c>
      <c r="M141" s="22">
        <f>IF(12=1,Assumptions!B103,0)</f>
        <v>0</v>
      </c>
      <c r="N141" s="22">
        <f>IF(13=1,Assumptions!B103,0)</f>
        <v>0</v>
      </c>
      <c r="O141" s="22">
        <f>IF(14=1,Assumptions!B103,0)</f>
        <v>0</v>
      </c>
      <c r="P141" s="22">
        <f>IF(15=1,Assumptions!B103,0)</f>
        <v>0</v>
      </c>
      <c r="Q141" s="22">
        <f>IF(16=1,Assumptions!B103,0)</f>
        <v>0</v>
      </c>
      <c r="R141" s="22">
        <f>IF(17=1,Assumptions!B103,0)</f>
        <v>0</v>
      </c>
      <c r="S141" s="22">
        <f>IF(18=1,Assumptions!B103,0)</f>
        <v>0</v>
      </c>
      <c r="T141" s="22">
        <f>IF(19=1,Assumptions!B103,0)</f>
        <v>0</v>
      </c>
      <c r="U141" s="22">
        <f>IF(20=1,Assumptions!B103,0)</f>
        <v>0</v>
      </c>
      <c r="V141" s="22">
        <f>IF(21=1,Assumptions!B103,0)</f>
        <v>0</v>
      </c>
      <c r="W141" s="22">
        <f>IF(22=1,Assumptions!B103,0)</f>
        <v>0</v>
      </c>
      <c r="X141" s="22">
        <f>IF(23=1,Assumptions!B103,0)</f>
        <v>0</v>
      </c>
      <c r="Y141" s="22">
        <f>IF(24=1,Assumptions!B103,0)</f>
        <v>0</v>
      </c>
      <c r="Z141" s="22">
        <f t="shared" si="41"/>
        <v>3500</v>
      </c>
    </row>
    <row r="142" ht="15.75" customHeight="1">
      <c r="A142" s="21" t="s">
        <v>152</v>
      </c>
      <c r="B142" s="22">
        <f>IF(1=1,Assumptions!B104,0)</f>
        <v>5000</v>
      </c>
      <c r="C142" s="22">
        <f>IF(2=1,Assumptions!B104,0)</f>
        <v>0</v>
      </c>
      <c r="D142" s="22">
        <f>IF(3=1,Assumptions!B104,0)</f>
        <v>0</v>
      </c>
      <c r="E142" s="22">
        <f>IF(4=1,Assumptions!B104,0)</f>
        <v>0</v>
      </c>
      <c r="F142" s="22">
        <f>IF(5=1,Assumptions!B104,0)</f>
        <v>0</v>
      </c>
      <c r="G142" s="22">
        <f>IF(6=1,Assumptions!B104,0)</f>
        <v>0</v>
      </c>
      <c r="H142" s="22">
        <f>IF(7=1,Assumptions!B104,0)</f>
        <v>0</v>
      </c>
      <c r="I142" s="22">
        <f>IF(8=1,Assumptions!B104,0)</f>
        <v>0</v>
      </c>
      <c r="J142" s="22">
        <f>IF(9=1,Assumptions!B104,0)</f>
        <v>0</v>
      </c>
      <c r="K142" s="22">
        <f>IF(10=1,Assumptions!B104,0)</f>
        <v>0</v>
      </c>
      <c r="L142" s="22">
        <f>IF(11=1,Assumptions!B104,0)</f>
        <v>0</v>
      </c>
      <c r="M142" s="22">
        <f>IF(12=1,Assumptions!B104,0)</f>
        <v>0</v>
      </c>
      <c r="N142" s="22">
        <f>IF(13=1,Assumptions!B104,0)</f>
        <v>0</v>
      </c>
      <c r="O142" s="22">
        <f>IF(14=1,Assumptions!B104,0)</f>
        <v>0</v>
      </c>
      <c r="P142" s="22">
        <f>IF(15=1,Assumptions!B104,0)</f>
        <v>0</v>
      </c>
      <c r="Q142" s="22">
        <f>IF(16=1,Assumptions!B104,0)</f>
        <v>0</v>
      </c>
      <c r="R142" s="22">
        <f>IF(17=1,Assumptions!B104,0)</f>
        <v>0</v>
      </c>
      <c r="S142" s="22">
        <f>IF(18=1,Assumptions!B104,0)</f>
        <v>0</v>
      </c>
      <c r="T142" s="22">
        <f>IF(19=1,Assumptions!B104,0)</f>
        <v>0</v>
      </c>
      <c r="U142" s="22">
        <f>IF(20=1,Assumptions!B104,0)</f>
        <v>0</v>
      </c>
      <c r="V142" s="22">
        <f>IF(21=1,Assumptions!B104,0)</f>
        <v>0</v>
      </c>
      <c r="W142" s="22">
        <f>IF(22=1,Assumptions!B104,0)</f>
        <v>0</v>
      </c>
      <c r="X142" s="22">
        <f>IF(23=1,Assumptions!B104,0)</f>
        <v>0</v>
      </c>
      <c r="Y142" s="22">
        <f>IF(24=1,Assumptions!B104,0)</f>
        <v>0</v>
      </c>
      <c r="Z142" s="22">
        <f t="shared" si="41"/>
        <v>5000</v>
      </c>
    </row>
    <row r="143" ht="15.75" customHeight="1">
      <c r="A143" s="21" t="s">
        <v>153</v>
      </c>
      <c r="B143" s="22">
        <f>IF(1=1,Assumptions!B105,0)</f>
        <v>7500</v>
      </c>
      <c r="C143" s="22">
        <f>IF(2=1,Assumptions!B105,0)</f>
        <v>0</v>
      </c>
      <c r="D143" s="22">
        <f>IF(3=1,Assumptions!B105,0)</f>
        <v>0</v>
      </c>
      <c r="E143" s="22">
        <f>IF(4=1,Assumptions!B105,0)</f>
        <v>0</v>
      </c>
      <c r="F143" s="22">
        <f>IF(5=1,Assumptions!B105,0)</f>
        <v>0</v>
      </c>
      <c r="G143" s="22">
        <f>IF(6=1,Assumptions!B105,0)</f>
        <v>0</v>
      </c>
      <c r="H143" s="22">
        <f>IF(7=1,Assumptions!B105,0)</f>
        <v>0</v>
      </c>
      <c r="I143" s="22">
        <f>IF(8=1,Assumptions!B105,0)</f>
        <v>0</v>
      </c>
      <c r="J143" s="22">
        <f>IF(9=1,Assumptions!B105,0)</f>
        <v>0</v>
      </c>
      <c r="K143" s="22">
        <f>IF(10=1,Assumptions!B105,0)</f>
        <v>0</v>
      </c>
      <c r="L143" s="22">
        <f>IF(11=1,Assumptions!B105,0)</f>
        <v>0</v>
      </c>
      <c r="M143" s="22">
        <f>IF(12=1,Assumptions!B105,0)</f>
        <v>0</v>
      </c>
      <c r="N143" s="22">
        <f>IF(13=1,Assumptions!B105,0)</f>
        <v>0</v>
      </c>
      <c r="O143" s="22">
        <f>IF(14=1,Assumptions!B105,0)</f>
        <v>0</v>
      </c>
      <c r="P143" s="22">
        <f>IF(15=1,Assumptions!B105,0)</f>
        <v>0</v>
      </c>
      <c r="Q143" s="22">
        <f>IF(16=1,Assumptions!B105,0)</f>
        <v>0</v>
      </c>
      <c r="R143" s="22">
        <f>IF(17=1,Assumptions!B105,0)</f>
        <v>0</v>
      </c>
      <c r="S143" s="22">
        <f>IF(18=1,Assumptions!B105,0)</f>
        <v>0</v>
      </c>
      <c r="T143" s="22">
        <f>IF(19=1,Assumptions!B105,0)</f>
        <v>0</v>
      </c>
      <c r="U143" s="22">
        <f>IF(20=1,Assumptions!B105,0)</f>
        <v>0</v>
      </c>
      <c r="V143" s="22">
        <f>IF(21=1,Assumptions!B105,0)</f>
        <v>0</v>
      </c>
      <c r="W143" s="22">
        <f>IF(22=1,Assumptions!B105,0)</f>
        <v>0</v>
      </c>
      <c r="X143" s="22">
        <f>IF(23=1,Assumptions!B105,0)</f>
        <v>0</v>
      </c>
      <c r="Y143" s="22">
        <f>IF(24=1,Assumptions!B105,0)</f>
        <v>0</v>
      </c>
      <c r="Z143" s="22">
        <f t="shared" si="41"/>
        <v>7500</v>
      </c>
    </row>
    <row r="144" ht="15.75" customHeight="1">
      <c r="A144" s="21" t="s">
        <v>154</v>
      </c>
      <c r="B144" s="22">
        <f>IF(1=1,Assumptions!B106,0)</f>
        <v>7500</v>
      </c>
      <c r="C144" s="22">
        <f>IF(2=1,Assumptions!B106,0)</f>
        <v>0</v>
      </c>
      <c r="D144" s="22">
        <f>IF(3=1,Assumptions!B106,0)</f>
        <v>0</v>
      </c>
      <c r="E144" s="22">
        <f>IF(4=1,Assumptions!B106,0)</f>
        <v>0</v>
      </c>
      <c r="F144" s="22">
        <f>IF(5=1,Assumptions!B106,0)</f>
        <v>0</v>
      </c>
      <c r="G144" s="22">
        <f>IF(6=1,Assumptions!B106,0)</f>
        <v>0</v>
      </c>
      <c r="H144" s="22">
        <f>IF(7=1,Assumptions!B106,0)</f>
        <v>0</v>
      </c>
      <c r="I144" s="22">
        <f>IF(8=1,Assumptions!B106,0)</f>
        <v>0</v>
      </c>
      <c r="J144" s="22">
        <f>IF(9=1,Assumptions!B106,0)</f>
        <v>0</v>
      </c>
      <c r="K144" s="22">
        <f>IF(10=1,Assumptions!B106,0)</f>
        <v>0</v>
      </c>
      <c r="L144" s="22">
        <f>IF(11=1,Assumptions!B106,0)</f>
        <v>0</v>
      </c>
      <c r="M144" s="22">
        <f>IF(12=1,Assumptions!B106,0)</f>
        <v>0</v>
      </c>
      <c r="N144" s="22">
        <f>IF(13=1,Assumptions!B106,0)</f>
        <v>0</v>
      </c>
      <c r="O144" s="22">
        <f>IF(14=1,Assumptions!B106,0)</f>
        <v>0</v>
      </c>
      <c r="P144" s="22">
        <f>IF(15=1,Assumptions!B106,0)</f>
        <v>0</v>
      </c>
      <c r="Q144" s="22">
        <f>IF(16=1,Assumptions!B106,0)</f>
        <v>0</v>
      </c>
      <c r="R144" s="22">
        <f>IF(17=1,Assumptions!B106,0)</f>
        <v>0</v>
      </c>
      <c r="S144" s="22">
        <f>IF(18=1,Assumptions!B106,0)</f>
        <v>0</v>
      </c>
      <c r="T144" s="22">
        <f>IF(19=1,Assumptions!B106,0)</f>
        <v>0</v>
      </c>
      <c r="U144" s="22">
        <f>IF(20=1,Assumptions!B106,0)</f>
        <v>0</v>
      </c>
      <c r="V144" s="22">
        <f>IF(21=1,Assumptions!B106,0)</f>
        <v>0</v>
      </c>
      <c r="W144" s="22">
        <f>IF(22=1,Assumptions!B106,0)</f>
        <v>0</v>
      </c>
      <c r="X144" s="22">
        <f>IF(23=1,Assumptions!B106,0)</f>
        <v>0</v>
      </c>
      <c r="Y144" s="22">
        <f>IF(24=1,Assumptions!B106,0)</f>
        <v>0</v>
      </c>
      <c r="Z144" s="22">
        <f t="shared" si="41"/>
        <v>7500</v>
      </c>
    </row>
    <row r="145" ht="15.75" customHeight="1">
      <c r="A145" s="21" t="s">
        <v>155</v>
      </c>
      <c r="B145" s="22">
        <f>IF(1=1,Assumptions!B107,0)</f>
        <v>5000</v>
      </c>
      <c r="C145" s="22">
        <f>IF(2=1,Assumptions!B107,0)</f>
        <v>0</v>
      </c>
      <c r="D145" s="22">
        <f>IF(3=1,Assumptions!B107,0)</f>
        <v>0</v>
      </c>
      <c r="E145" s="22">
        <f>IF(4=1,Assumptions!B107,0)</f>
        <v>0</v>
      </c>
      <c r="F145" s="22">
        <f>IF(5=1,Assumptions!B107,0)</f>
        <v>0</v>
      </c>
      <c r="G145" s="22">
        <f>IF(6=1,Assumptions!B107,0)</f>
        <v>0</v>
      </c>
      <c r="H145" s="22">
        <f>IF(7=1,Assumptions!B107,0)</f>
        <v>0</v>
      </c>
      <c r="I145" s="22">
        <f>IF(8=1,Assumptions!B107,0)</f>
        <v>0</v>
      </c>
      <c r="J145" s="22">
        <f>IF(9=1,Assumptions!B107,0)</f>
        <v>0</v>
      </c>
      <c r="K145" s="22">
        <f>IF(10=1,Assumptions!B107,0)</f>
        <v>0</v>
      </c>
      <c r="L145" s="22">
        <f>IF(11=1,Assumptions!B107,0)</f>
        <v>0</v>
      </c>
      <c r="M145" s="22">
        <f>IF(12=1,Assumptions!B107,0)</f>
        <v>0</v>
      </c>
      <c r="N145" s="22">
        <f>IF(13=1,Assumptions!B107,0)</f>
        <v>0</v>
      </c>
      <c r="O145" s="22">
        <f>IF(14=1,Assumptions!B107,0)</f>
        <v>0</v>
      </c>
      <c r="P145" s="22">
        <f>IF(15=1,Assumptions!B107,0)</f>
        <v>0</v>
      </c>
      <c r="Q145" s="22">
        <f>IF(16=1,Assumptions!B107,0)</f>
        <v>0</v>
      </c>
      <c r="R145" s="22">
        <f>IF(17=1,Assumptions!B107,0)</f>
        <v>0</v>
      </c>
      <c r="S145" s="22">
        <f>IF(18=1,Assumptions!B107,0)</f>
        <v>0</v>
      </c>
      <c r="T145" s="22">
        <f>IF(19=1,Assumptions!B107,0)</f>
        <v>0</v>
      </c>
      <c r="U145" s="22">
        <f>IF(20=1,Assumptions!B107,0)</f>
        <v>0</v>
      </c>
      <c r="V145" s="22">
        <f>IF(21=1,Assumptions!B107,0)</f>
        <v>0</v>
      </c>
      <c r="W145" s="22">
        <f>IF(22=1,Assumptions!B107,0)</f>
        <v>0</v>
      </c>
      <c r="X145" s="22">
        <f>IF(23=1,Assumptions!B107,0)</f>
        <v>0</v>
      </c>
      <c r="Y145" s="22">
        <f>IF(24=1,Assumptions!B107,0)</f>
        <v>0</v>
      </c>
      <c r="Z145" s="22">
        <f t="shared" si="41"/>
        <v>5000</v>
      </c>
    </row>
    <row r="146" ht="15.75" customHeight="1">
      <c r="A146" s="21" t="s">
        <v>156</v>
      </c>
      <c r="B146" s="22">
        <f>IF(1=1,Assumptions!B108,0)</f>
        <v>15000</v>
      </c>
      <c r="C146" s="22">
        <f>IF(2=1,Assumptions!B108,0)</f>
        <v>0</v>
      </c>
      <c r="D146" s="22">
        <f>IF(3=1,Assumptions!B108,0)</f>
        <v>0</v>
      </c>
      <c r="E146" s="22">
        <f>IF(4=1,Assumptions!B108,0)</f>
        <v>0</v>
      </c>
      <c r="F146" s="22">
        <f>IF(5=1,Assumptions!B108,0)</f>
        <v>0</v>
      </c>
      <c r="G146" s="22">
        <f>IF(6=1,Assumptions!B108,0)</f>
        <v>0</v>
      </c>
      <c r="H146" s="22">
        <f>IF(7=1,Assumptions!B108,0)</f>
        <v>0</v>
      </c>
      <c r="I146" s="22">
        <f>IF(8=1,Assumptions!B108,0)</f>
        <v>0</v>
      </c>
      <c r="J146" s="22">
        <f>IF(9=1,Assumptions!B108,0)</f>
        <v>0</v>
      </c>
      <c r="K146" s="22">
        <f>IF(10=1,Assumptions!B108,0)</f>
        <v>0</v>
      </c>
      <c r="L146" s="22">
        <f>IF(11=1,Assumptions!B108,0)</f>
        <v>0</v>
      </c>
      <c r="M146" s="22">
        <f>IF(12=1,Assumptions!B108,0)</f>
        <v>0</v>
      </c>
      <c r="N146" s="22">
        <f>IF(13=1,Assumptions!B108,0)</f>
        <v>0</v>
      </c>
      <c r="O146" s="22">
        <f>IF(14=1,Assumptions!B108,0)</f>
        <v>0</v>
      </c>
      <c r="P146" s="22">
        <f>IF(15=1,Assumptions!B108,0)</f>
        <v>0</v>
      </c>
      <c r="Q146" s="22">
        <f>IF(16=1,Assumptions!B108,0)</f>
        <v>0</v>
      </c>
      <c r="R146" s="22">
        <f>IF(17=1,Assumptions!B108,0)</f>
        <v>0</v>
      </c>
      <c r="S146" s="22">
        <f>IF(18=1,Assumptions!B108,0)</f>
        <v>0</v>
      </c>
      <c r="T146" s="22">
        <f>IF(19=1,Assumptions!B108,0)</f>
        <v>0</v>
      </c>
      <c r="U146" s="22">
        <f>IF(20=1,Assumptions!B108,0)</f>
        <v>0</v>
      </c>
      <c r="V146" s="22">
        <f>IF(21=1,Assumptions!B108,0)</f>
        <v>0</v>
      </c>
      <c r="W146" s="22">
        <f>IF(22=1,Assumptions!B108,0)</f>
        <v>0</v>
      </c>
      <c r="X146" s="22">
        <f>IF(23=1,Assumptions!B108,0)</f>
        <v>0</v>
      </c>
      <c r="Y146" s="22">
        <f>IF(24=1,Assumptions!B108,0)</f>
        <v>0</v>
      </c>
      <c r="Z146" s="22">
        <f t="shared" si="41"/>
        <v>15000</v>
      </c>
    </row>
    <row r="147" ht="15.75" customHeight="1">
      <c r="A147" s="21" t="s">
        <v>157</v>
      </c>
      <c r="B147" s="22">
        <f>IF(1=3,Assumptions!B109,0)</f>
        <v>0</v>
      </c>
      <c r="C147" s="22">
        <f>IF(2=3,Assumptions!B109,0)</f>
        <v>0</v>
      </c>
      <c r="D147" s="22">
        <f>IF(3=3,Assumptions!B109,0)</f>
        <v>25000</v>
      </c>
      <c r="E147" s="22">
        <f>IF(4=3,Assumptions!B109,0)</f>
        <v>0</v>
      </c>
      <c r="F147" s="22">
        <f>IF(5=3,Assumptions!B109,0)</f>
        <v>0</v>
      </c>
      <c r="G147" s="22">
        <f>IF(6=3,Assumptions!B109,0)</f>
        <v>0</v>
      </c>
      <c r="H147" s="22">
        <f>IF(7=3,Assumptions!B109,0)</f>
        <v>0</v>
      </c>
      <c r="I147" s="22">
        <f>IF(8=3,Assumptions!B109,0)</f>
        <v>0</v>
      </c>
      <c r="J147" s="22">
        <f>IF(9=3,Assumptions!B109,0)</f>
        <v>0</v>
      </c>
      <c r="K147" s="22">
        <f>IF(10=3,Assumptions!B109,0)</f>
        <v>0</v>
      </c>
      <c r="L147" s="22">
        <f>IF(11=3,Assumptions!B109,0)</f>
        <v>0</v>
      </c>
      <c r="M147" s="22">
        <f>IF(12=3,Assumptions!B109,0)</f>
        <v>0</v>
      </c>
      <c r="N147" s="22">
        <f>IF(13=3,Assumptions!B109,0)</f>
        <v>0</v>
      </c>
      <c r="O147" s="22">
        <f>IF(14=3,Assumptions!B109,0)</f>
        <v>0</v>
      </c>
      <c r="P147" s="22">
        <f>IF(15=3,Assumptions!B109,0)</f>
        <v>0</v>
      </c>
      <c r="Q147" s="22">
        <f>IF(16=3,Assumptions!B109,0)</f>
        <v>0</v>
      </c>
      <c r="R147" s="22">
        <f>IF(17=3,Assumptions!B109,0)</f>
        <v>0</v>
      </c>
      <c r="S147" s="22">
        <f>IF(18=3,Assumptions!B109,0)</f>
        <v>0</v>
      </c>
      <c r="T147" s="22">
        <f>IF(19=3,Assumptions!B109,0)</f>
        <v>0</v>
      </c>
      <c r="U147" s="22">
        <f>IF(20=3,Assumptions!B109,0)</f>
        <v>0</v>
      </c>
      <c r="V147" s="22">
        <f>IF(21=3,Assumptions!B109,0)</f>
        <v>0</v>
      </c>
      <c r="W147" s="22">
        <f>IF(22=3,Assumptions!B109,0)</f>
        <v>0</v>
      </c>
      <c r="X147" s="22">
        <f>IF(23=3,Assumptions!B109,0)</f>
        <v>0</v>
      </c>
      <c r="Y147" s="22">
        <f>IF(24=3,Assumptions!B109,0)</f>
        <v>0</v>
      </c>
      <c r="Z147" s="22">
        <f t="shared" si="41"/>
        <v>25000</v>
      </c>
    </row>
    <row r="148" ht="15.75" customHeight="1">
      <c r="A148" s="21" t="s">
        <v>158</v>
      </c>
      <c r="B148" s="22">
        <f>IF(1=3,Assumptions!B110,0)</f>
        <v>0</v>
      </c>
      <c r="C148" s="22">
        <f>IF(2=3,Assumptions!B110,0)</f>
        <v>0</v>
      </c>
      <c r="D148" s="22">
        <f>IF(3=3,Assumptions!B110,0)</f>
        <v>20000</v>
      </c>
      <c r="E148" s="22">
        <f>IF(4=3,Assumptions!B110,0)</f>
        <v>0</v>
      </c>
      <c r="F148" s="22">
        <f>IF(5=3,Assumptions!B110,0)</f>
        <v>0</v>
      </c>
      <c r="G148" s="22">
        <f>IF(6=3,Assumptions!B110,0)</f>
        <v>0</v>
      </c>
      <c r="H148" s="22">
        <f>IF(7=3,Assumptions!B110,0)</f>
        <v>0</v>
      </c>
      <c r="I148" s="22">
        <f>IF(8=3,Assumptions!B110,0)</f>
        <v>0</v>
      </c>
      <c r="J148" s="22">
        <f>IF(9=3,Assumptions!B110,0)</f>
        <v>0</v>
      </c>
      <c r="K148" s="22">
        <f>IF(10=3,Assumptions!B110,0)</f>
        <v>0</v>
      </c>
      <c r="L148" s="22">
        <f>IF(11=3,Assumptions!B110,0)</f>
        <v>0</v>
      </c>
      <c r="M148" s="22">
        <f>IF(12=3,Assumptions!B110,0)</f>
        <v>0</v>
      </c>
      <c r="N148" s="22">
        <f>IF(13=3,Assumptions!B110,0)</f>
        <v>0</v>
      </c>
      <c r="O148" s="22">
        <f>IF(14=3,Assumptions!B110,0)</f>
        <v>0</v>
      </c>
      <c r="P148" s="22">
        <f>IF(15=3,Assumptions!B110,0)</f>
        <v>0</v>
      </c>
      <c r="Q148" s="22">
        <f>IF(16=3,Assumptions!B110,0)</f>
        <v>0</v>
      </c>
      <c r="R148" s="22">
        <f>IF(17=3,Assumptions!B110,0)</f>
        <v>0</v>
      </c>
      <c r="S148" s="22">
        <f>IF(18=3,Assumptions!B110,0)</f>
        <v>0</v>
      </c>
      <c r="T148" s="22">
        <f>IF(19=3,Assumptions!B110,0)</f>
        <v>0</v>
      </c>
      <c r="U148" s="22">
        <f>IF(20=3,Assumptions!B110,0)</f>
        <v>0</v>
      </c>
      <c r="V148" s="22">
        <f>IF(21=3,Assumptions!B110,0)</f>
        <v>0</v>
      </c>
      <c r="W148" s="22">
        <f>IF(22=3,Assumptions!B110,0)</f>
        <v>0</v>
      </c>
      <c r="X148" s="22">
        <f>IF(23=3,Assumptions!B110,0)</f>
        <v>0</v>
      </c>
      <c r="Y148" s="22">
        <f>IF(24=3,Assumptions!B110,0)</f>
        <v>0</v>
      </c>
      <c r="Z148" s="22">
        <f t="shared" si="41"/>
        <v>20000</v>
      </c>
    </row>
    <row r="149" ht="15.75" customHeight="1">
      <c r="A149" s="21" t="s">
        <v>159</v>
      </c>
      <c r="B149" s="22">
        <f>IF(1=3,Assumptions!B111,0)</f>
        <v>0</v>
      </c>
      <c r="C149" s="22">
        <f>IF(2=3,Assumptions!B111,0)</f>
        <v>0</v>
      </c>
      <c r="D149" s="22">
        <f>IF(3=3,Assumptions!B111,0)</f>
        <v>5000</v>
      </c>
      <c r="E149" s="22">
        <f>IF(4=3,Assumptions!B111,0)</f>
        <v>0</v>
      </c>
      <c r="F149" s="22">
        <f>IF(5=3,Assumptions!B111,0)</f>
        <v>0</v>
      </c>
      <c r="G149" s="22">
        <f>IF(6=3,Assumptions!B111,0)</f>
        <v>0</v>
      </c>
      <c r="H149" s="22">
        <f>IF(7=3,Assumptions!B111,0)</f>
        <v>0</v>
      </c>
      <c r="I149" s="22">
        <f>IF(8=3,Assumptions!B111,0)</f>
        <v>0</v>
      </c>
      <c r="J149" s="22">
        <f>IF(9=3,Assumptions!B111,0)</f>
        <v>0</v>
      </c>
      <c r="K149" s="22">
        <f>IF(10=3,Assumptions!B111,0)</f>
        <v>0</v>
      </c>
      <c r="L149" s="22">
        <f>IF(11=3,Assumptions!B111,0)</f>
        <v>0</v>
      </c>
      <c r="M149" s="22">
        <f>IF(12=3,Assumptions!B111,0)</f>
        <v>0</v>
      </c>
      <c r="N149" s="22">
        <f>IF(13=3,Assumptions!B111,0)</f>
        <v>0</v>
      </c>
      <c r="O149" s="22">
        <f>IF(14=3,Assumptions!B111,0)</f>
        <v>0</v>
      </c>
      <c r="P149" s="22">
        <f>IF(15=3,Assumptions!B111,0)</f>
        <v>0</v>
      </c>
      <c r="Q149" s="22">
        <f>IF(16=3,Assumptions!B111,0)</f>
        <v>0</v>
      </c>
      <c r="R149" s="22">
        <f>IF(17=3,Assumptions!B111,0)</f>
        <v>0</v>
      </c>
      <c r="S149" s="22">
        <f>IF(18=3,Assumptions!B111,0)</f>
        <v>0</v>
      </c>
      <c r="T149" s="22">
        <f>IF(19=3,Assumptions!B111,0)</f>
        <v>0</v>
      </c>
      <c r="U149" s="22">
        <f>IF(20=3,Assumptions!B111,0)</f>
        <v>0</v>
      </c>
      <c r="V149" s="22">
        <f>IF(21=3,Assumptions!B111,0)</f>
        <v>0</v>
      </c>
      <c r="W149" s="22">
        <f>IF(22=3,Assumptions!B111,0)</f>
        <v>0</v>
      </c>
      <c r="X149" s="22">
        <f>IF(23=3,Assumptions!B111,0)</f>
        <v>0</v>
      </c>
      <c r="Y149" s="22">
        <f>IF(24=3,Assumptions!B111,0)</f>
        <v>0</v>
      </c>
      <c r="Z149" s="22">
        <f t="shared" si="41"/>
        <v>5000</v>
      </c>
    </row>
    <row r="150" ht="15.75" customHeight="1">
      <c r="A150" s="21" t="s">
        <v>160</v>
      </c>
      <c r="B150" s="22">
        <f>IF(1=3,Assumptions!B112,0)</f>
        <v>0</v>
      </c>
      <c r="C150" s="22">
        <f>IF(2=3,Assumptions!B112,0)</f>
        <v>0</v>
      </c>
      <c r="D150" s="22">
        <f>IF(3=3,Assumptions!B112,0)</f>
        <v>300</v>
      </c>
      <c r="E150" s="22">
        <f>IF(4=3,Assumptions!B112,0)</f>
        <v>0</v>
      </c>
      <c r="F150" s="22">
        <f>IF(5=3,Assumptions!B112,0)</f>
        <v>0</v>
      </c>
      <c r="G150" s="22">
        <f>IF(6=3,Assumptions!B112,0)</f>
        <v>0</v>
      </c>
      <c r="H150" s="22">
        <f>IF(7=3,Assumptions!B112,0)</f>
        <v>0</v>
      </c>
      <c r="I150" s="22">
        <f>IF(8=3,Assumptions!B112,0)</f>
        <v>0</v>
      </c>
      <c r="J150" s="22">
        <f>IF(9=3,Assumptions!B112,0)</f>
        <v>0</v>
      </c>
      <c r="K150" s="22">
        <f>IF(10=3,Assumptions!B112,0)</f>
        <v>0</v>
      </c>
      <c r="L150" s="22">
        <f>IF(11=3,Assumptions!B112,0)</f>
        <v>0</v>
      </c>
      <c r="M150" s="22">
        <f>IF(12=3,Assumptions!B112,0)</f>
        <v>0</v>
      </c>
      <c r="N150" s="22">
        <f>IF(13=3,Assumptions!B112,0)</f>
        <v>0</v>
      </c>
      <c r="O150" s="22">
        <f>IF(14=3,Assumptions!B112,0)</f>
        <v>0</v>
      </c>
      <c r="P150" s="22">
        <f>IF(15=3,Assumptions!B112,0)</f>
        <v>0</v>
      </c>
      <c r="Q150" s="22">
        <f>IF(16=3,Assumptions!B112,0)</f>
        <v>0</v>
      </c>
      <c r="R150" s="22">
        <f>IF(17=3,Assumptions!B112,0)</f>
        <v>0</v>
      </c>
      <c r="S150" s="22">
        <f>IF(18=3,Assumptions!B112,0)</f>
        <v>0</v>
      </c>
      <c r="T150" s="22">
        <f>IF(19=3,Assumptions!B112,0)</f>
        <v>0</v>
      </c>
      <c r="U150" s="22">
        <f>IF(20=3,Assumptions!B112,0)</f>
        <v>0</v>
      </c>
      <c r="V150" s="22">
        <f>IF(21=3,Assumptions!B112,0)</f>
        <v>0</v>
      </c>
      <c r="W150" s="22">
        <f>IF(22=3,Assumptions!B112,0)</f>
        <v>0</v>
      </c>
      <c r="X150" s="22">
        <f>IF(23=3,Assumptions!B112,0)</f>
        <v>0</v>
      </c>
      <c r="Y150" s="22">
        <f>IF(24=3,Assumptions!B112,0)</f>
        <v>0</v>
      </c>
      <c r="Z150" s="22">
        <f t="shared" si="41"/>
        <v>300</v>
      </c>
    </row>
    <row r="151" ht="15.75" customHeight="1">
      <c r="A151" s="21" t="s">
        <v>161</v>
      </c>
      <c r="B151" s="22">
        <f>IF(1=3,Assumptions!B113,0)</f>
        <v>0</v>
      </c>
      <c r="C151" s="22">
        <f>IF(2=3,Assumptions!B113,0)</f>
        <v>0</v>
      </c>
      <c r="D151" s="22">
        <f>IF(3=3,Assumptions!B113,0)</f>
        <v>500</v>
      </c>
      <c r="E151" s="22">
        <f>IF(4=3,Assumptions!B113,0)</f>
        <v>0</v>
      </c>
      <c r="F151" s="22">
        <f>IF(5=3,Assumptions!B113,0)</f>
        <v>0</v>
      </c>
      <c r="G151" s="22">
        <f>IF(6=3,Assumptions!B113,0)</f>
        <v>0</v>
      </c>
      <c r="H151" s="22">
        <f>IF(7=3,Assumptions!B113,0)</f>
        <v>0</v>
      </c>
      <c r="I151" s="22">
        <f>IF(8=3,Assumptions!B113,0)</f>
        <v>0</v>
      </c>
      <c r="J151" s="22">
        <f>IF(9=3,Assumptions!B113,0)</f>
        <v>0</v>
      </c>
      <c r="K151" s="22">
        <f>IF(10=3,Assumptions!B113,0)</f>
        <v>0</v>
      </c>
      <c r="L151" s="22">
        <f>IF(11=3,Assumptions!B113,0)</f>
        <v>0</v>
      </c>
      <c r="M151" s="22">
        <f>IF(12=3,Assumptions!B113,0)</f>
        <v>0</v>
      </c>
      <c r="N151" s="22">
        <f>IF(13=3,Assumptions!B113,0)</f>
        <v>0</v>
      </c>
      <c r="O151" s="22">
        <f>IF(14=3,Assumptions!B113,0)</f>
        <v>0</v>
      </c>
      <c r="P151" s="22">
        <f>IF(15=3,Assumptions!B113,0)</f>
        <v>0</v>
      </c>
      <c r="Q151" s="22">
        <f>IF(16=3,Assumptions!B113,0)</f>
        <v>0</v>
      </c>
      <c r="R151" s="22">
        <f>IF(17=3,Assumptions!B113,0)</f>
        <v>0</v>
      </c>
      <c r="S151" s="22">
        <f>IF(18=3,Assumptions!B113,0)</f>
        <v>0</v>
      </c>
      <c r="T151" s="22">
        <f>IF(19=3,Assumptions!B113,0)</f>
        <v>0</v>
      </c>
      <c r="U151" s="22">
        <f>IF(20=3,Assumptions!B113,0)</f>
        <v>0</v>
      </c>
      <c r="V151" s="22">
        <f>IF(21=3,Assumptions!B113,0)</f>
        <v>0</v>
      </c>
      <c r="W151" s="22">
        <f>IF(22=3,Assumptions!B113,0)</f>
        <v>0</v>
      </c>
      <c r="X151" s="22">
        <f>IF(23=3,Assumptions!B113,0)</f>
        <v>0</v>
      </c>
      <c r="Y151" s="22">
        <f>IF(24=3,Assumptions!B113,0)</f>
        <v>0</v>
      </c>
      <c r="Z151" s="22">
        <f t="shared" si="41"/>
        <v>500</v>
      </c>
    </row>
    <row r="152" ht="15.75" customHeight="1">
      <c r="A152" s="21" t="s">
        <v>162</v>
      </c>
      <c r="B152" s="22">
        <f>IF(1=3,Assumptions!B114,0)</f>
        <v>0</v>
      </c>
      <c r="C152" s="22">
        <f>IF(2=3,Assumptions!B114,0)</f>
        <v>0</v>
      </c>
      <c r="D152" s="22">
        <f>IF(3=3,Assumptions!B114,0)</f>
        <v>1000</v>
      </c>
      <c r="E152" s="22">
        <f>IF(4=3,Assumptions!B114,0)</f>
        <v>0</v>
      </c>
      <c r="F152" s="22">
        <f>IF(5=3,Assumptions!B114,0)</f>
        <v>0</v>
      </c>
      <c r="G152" s="22">
        <f>IF(6=3,Assumptions!B114,0)</f>
        <v>0</v>
      </c>
      <c r="H152" s="22">
        <f>IF(7=3,Assumptions!B114,0)</f>
        <v>0</v>
      </c>
      <c r="I152" s="22">
        <f>IF(8=3,Assumptions!B114,0)</f>
        <v>0</v>
      </c>
      <c r="J152" s="22">
        <f>IF(9=3,Assumptions!B114,0)</f>
        <v>0</v>
      </c>
      <c r="K152" s="22">
        <f>IF(10=3,Assumptions!B114,0)</f>
        <v>0</v>
      </c>
      <c r="L152" s="22">
        <f>IF(11=3,Assumptions!B114,0)</f>
        <v>0</v>
      </c>
      <c r="M152" s="22">
        <f>IF(12=3,Assumptions!B114,0)</f>
        <v>0</v>
      </c>
      <c r="N152" s="22">
        <f>IF(13=3,Assumptions!B114,0)</f>
        <v>0</v>
      </c>
      <c r="O152" s="22">
        <f>IF(14=3,Assumptions!B114,0)</f>
        <v>0</v>
      </c>
      <c r="P152" s="22">
        <f>IF(15=3,Assumptions!B114,0)</f>
        <v>0</v>
      </c>
      <c r="Q152" s="22">
        <f>IF(16=3,Assumptions!B114,0)</f>
        <v>0</v>
      </c>
      <c r="R152" s="22">
        <f>IF(17=3,Assumptions!B114,0)</f>
        <v>0</v>
      </c>
      <c r="S152" s="22">
        <f>IF(18=3,Assumptions!B114,0)</f>
        <v>0</v>
      </c>
      <c r="T152" s="22">
        <f>IF(19=3,Assumptions!B114,0)</f>
        <v>0</v>
      </c>
      <c r="U152" s="22">
        <f>IF(20=3,Assumptions!B114,0)</f>
        <v>0</v>
      </c>
      <c r="V152" s="22">
        <f>IF(21=3,Assumptions!B114,0)</f>
        <v>0</v>
      </c>
      <c r="W152" s="22">
        <f>IF(22=3,Assumptions!B114,0)</f>
        <v>0</v>
      </c>
      <c r="X152" s="22">
        <f>IF(23=3,Assumptions!B114,0)</f>
        <v>0</v>
      </c>
      <c r="Y152" s="22">
        <f>IF(24=3,Assumptions!B114,0)</f>
        <v>0</v>
      </c>
      <c r="Z152" s="22">
        <f t="shared" si="41"/>
        <v>1000</v>
      </c>
    </row>
    <row r="153" ht="15.75" customHeight="1">
      <c r="A153" s="21" t="s">
        <v>163</v>
      </c>
      <c r="B153" s="22">
        <f>IF(1=3,Assumptions!B115,0)</f>
        <v>0</v>
      </c>
      <c r="C153" s="22">
        <f>IF(2=3,Assumptions!B115,0)</f>
        <v>0</v>
      </c>
      <c r="D153" s="22">
        <f>IF(3=3,Assumptions!B115,0)</f>
        <v>60</v>
      </c>
      <c r="E153" s="22">
        <f>IF(4=3,Assumptions!B115,0)</f>
        <v>0</v>
      </c>
      <c r="F153" s="22">
        <f>IF(5=3,Assumptions!B115,0)</f>
        <v>0</v>
      </c>
      <c r="G153" s="22">
        <f>IF(6=3,Assumptions!B115,0)</f>
        <v>0</v>
      </c>
      <c r="H153" s="22">
        <f>IF(7=3,Assumptions!B115,0)</f>
        <v>0</v>
      </c>
      <c r="I153" s="22">
        <f>IF(8=3,Assumptions!B115,0)</f>
        <v>0</v>
      </c>
      <c r="J153" s="22">
        <f>IF(9=3,Assumptions!B115,0)</f>
        <v>0</v>
      </c>
      <c r="K153" s="22">
        <f>IF(10=3,Assumptions!B115,0)</f>
        <v>0</v>
      </c>
      <c r="L153" s="22">
        <f>IF(11=3,Assumptions!B115,0)</f>
        <v>0</v>
      </c>
      <c r="M153" s="22">
        <f>IF(12=3,Assumptions!B115,0)</f>
        <v>0</v>
      </c>
      <c r="N153" s="22">
        <f>IF(13=3,Assumptions!B115,0)</f>
        <v>0</v>
      </c>
      <c r="O153" s="22">
        <f>IF(14=3,Assumptions!B115,0)</f>
        <v>0</v>
      </c>
      <c r="P153" s="22">
        <f>IF(15=3,Assumptions!B115,0)</f>
        <v>0</v>
      </c>
      <c r="Q153" s="22">
        <f>IF(16=3,Assumptions!B115,0)</f>
        <v>0</v>
      </c>
      <c r="R153" s="22">
        <f>IF(17=3,Assumptions!B115,0)</f>
        <v>0</v>
      </c>
      <c r="S153" s="22">
        <f>IF(18=3,Assumptions!B115,0)</f>
        <v>0</v>
      </c>
      <c r="T153" s="22">
        <f>IF(19=3,Assumptions!B115,0)</f>
        <v>0</v>
      </c>
      <c r="U153" s="22">
        <f>IF(20=3,Assumptions!B115,0)</f>
        <v>0</v>
      </c>
      <c r="V153" s="22">
        <f>IF(21=3,Assumptions!B115,0)</f>
        <v>0</v>
      </c>
      <c r="W153" s="22">
        <f>IF(22=3,Assumptions!B115,0)</f>
        <v>0</v>
      </c>
      <c r="X153" s="22">
        <f>IF(23=3,Assumptions!B115,0)</f>
        <v>0</v>
      </c>
      <c r="Y153" s="22">
        <f>IF(24=3,Assumptions!B115,0)</f>
        <v>0</v>
      </c>
      <c r="Z153" s="22">
        <f t="shared" si="41"/>
        <v>60</v>
      </c>
    </row>
    <row r="154" ht="15.75" customHeight="1">
      <c r="A154" s="21" t="s">
        <v>164</v>
      </c>
      <c r="B154" s="22">
        <f>IF(1=3,Assumptions!B116,0)</f>
        <v>0</v>
      </c>
      <c r="C154" s="22">
        <f>IF(2=3,Assumptions!B116,0)</f>
        <v>0</v>
      </c>
      <c r="D154" s="22">
        <f>IF(3=3,Assumptions!B116,0)</f>
        <v>500</v>
      </c>
      <c r="E154" s="22">
        <f>IF(4=3,Assumptions!B116,0)</f>
        <v>0</v>
      </c>
      <c r="F154" s="22">
        <f>IF(5=3,Assumptions!B116,0)</f>
        <v>0</v>
      </c>
      <c r="G154" s="22">
        <f>IF(6=3,Assumptions!B116,0)</f>
        <v>0</v>
      </c>
      <c r="H154" s="22">
        <f>IF(7=3,Assumptions!B116,0)</f>
        <v>0</v>
      </c>
      <c r="I154" s="22">
        <f>IF(8=3,Assumptions!B116,0)</f>
        <v>0</v>
      </c>
      <c r="J154" s="22">
        <f>IF(9=3,Assumptions!B116,0)</f>
        <v>0</v>
      </c>
      <c r="K154" s="22">
        <f>IF(10=3,Assumptions!B116,0)</f>
        <v>0</v>
      </c>
      <c r="L154" s="22">
        <f>IF(11=3,Assumptions!B116,0)</f>
        <v>0</v>
      </c>
      <c r="M154" s="22">
        <f>IF(12=3,Assumptions!B116,0)</f>
        <v>0</v>
      </c>
      <c r="N154" s="22">
        <f>IF(13=3,Assumptions!B116,0)</f>
        <v>0</v>
      </c>
      <c r="O154" s="22">
        <f>IF(14=3,Assumptions!B116,0)</f>
        <v>0</v>
      </c>
      <c r="P154" s="22">
        <f>IF(15=3,Assumptions!B116,0)</f>
        <v>0</v>
      </c>
      <c r="Q154" s="22">
        <f>IF(16=3,Assumptions!B116,0)</f>
        <v>0</v>
      </c>
      <c r="R154" s="22">
        <f>IF(17=3,Assumptions!B116,0)</f>
        <v>0</v>
      </c>
      <c r="S154" s="22">
        <f>IF(18=3,Assumptions!B116,0)</f>
        <v>0</v>
      </c>
      <c r="T154" s="22">
        <f>IF(19=3,Assumptions!B116,0)</f>
        <v>0</v>
      </c>
      <c r="U154" s="22">
        <f>IF(20=3,Assumptions!B116,0)</f>
        <v>0</v>
      </c>
      <c r="V154" s="22">
        <f>IF(21=3,Assumptions!B116,0)</f>
        <v>0</v>
      </c>
      <c r="W154" s="22">
        <f>IF(22=3,Assumptions!B116,0)</f>
        <v>0</v>
      </c>
      <c r="X154" s="22">
        <f>IF(23=3,Assumptions!B116,0)</f>
        <v>0</v>
      </c>
      <c r="Y154" s="22">
        <f>IF(24=3,Assumptions!B116,0)</f>
        <v>0</v>
      </c>
      <c r="Z154" s="22">
        <f t="shared" si="41"/>
        <v>500</v>
      </c>
    </row>
    <row r="155" ht="15.75" customHeight="1">
      <c r="A155" s="21" t="s">
        <v>165</v>
      </c>
      <c r="B155" s="22">
        <f>IF(1=3,Assumptions!B117,0)</f>
        <v>0</v>
      </c>
      <c r="C155" s="22">
        <f>IF(2=3,Assumptions!B117,0)</f>
        <v>0</v>
      </c>
      <c r="D155" s="22">
        <f>IF(3=3,Assumptions!B117,0)</f>
        <v>50000</v>
      </c>
      <c r="E155" s="22">
        <f>IF(4=3,Assumptions!B117,0)</f>
        <v>0</v>
      </c>
      <c r="F155" s="22">
        <f>IF(5=3,Assumptions!B117,0)</f>
        <v>0</v>
      </c>
      <c r="G155" s="22">
        <f>IF(6=3,Assumptions!B117,0)</f>
        <v>0</v>
      </c>
      <c r="H155" s="22">
        <f>IF(7=3,Assumptions!B117,0)</f>
        <v>0</v>
      </c>
      <c r="I155" s="22">
        <f>IF(8=3,Assumptions!B117,0)</f>
        <v>0</v>
      </c>
      <c r="J155" s="22">
        <f>IF(9=3,Assumptions!B117,0)</f>
        <v>0</v>
      </c>
      <c r="K155" s="22">
        <f>IF(10=3,Assumptions!B117,0)</f>
        <v>0</v>
      </c>
      <c r="L155" s="22">
        <f>IF(11=3,Assumptions!B117,0)</f>
        <v>0</v>
      </c>
      <c r="M155" s="22">
        <f>IF(12=3,Assumptions!B117,0)</f>
        <v>0</v>
      </c>
      <c r="N155" s="22">
        <f>IF(13=3,Assumptions!B117,0)</f>
        <v>0</v>
      </c>
      <c r="O155" s="22">
        <f>IF(14=3,Assumptions!B117,0)</f>
        <v>0</v>
      </c>
      <c r="P155" s="22">
        <f>IF(15=3,Assumptions!B117,0)</f>
        <v>0</v>
      </c>
      <c r="Q155" s="22">
        <f>IF(16=3,Assumptions!B117,0)</f>
        <v>0</v>
      </c>
      <c r="R155" s="22">
        <f>IF(17=3,Assumptions!B117,0)</f>
        <v>0</v>
      </c>
      <c r="S155" s="22">
        <f>IF(18=3,Assumptions!B117,0)</f>
        <v>0</v>
      </c>
      <c r="T155" s="22">
        <f>IF(19=3,Assumptions!B117,0)</f>
        <v>0</v>
      </c>
      <c r="U155" s="22">
        <f>IF(20=3,Assumptions!B117,0)</f>
        <v>0</v>
      </c>
      <c r="V155" s="22">
        <f>IF(21=3,Assumptions!B117,0)</f>
        <v>0</v>
      </c>
      <c r="W155" s="22">
        <f>IF(22=3,Assumptions!B117,0)</f>
        <v>0</v>
      </c>
      <c r="X155" s="22">
        <f>IF(23=3,Assumptions!B117,0)</f>
        <v>0</v>
      </c>
      <c r="Y155" s="22">
        <f>IF(24=3,Assumptions!B117,0)</f>
        <v>0</v>
      </c>
      <c r="Z155" s="22">
        <f t="shared" si="41"/>
        <v>50000</v>
      </c>
    </row>
    <row r="156" ht="15.75" customHeight="1">
      <c r="A156" s="26" t="s">
        <v>166</v>
      </c>
      <c r="B156" s="29">
        <v>200.0</v>
      </c>
      <c r="C156" s="22">
        <f>IF(2=1,Assumptions!B137,0)</f>
        <v>0</v>
      </c>
      <c r="D156" s="22">
        <f>IF(3=1,Assumptions!B137,0)</f>
        <v>0</v>
      </c>
      <c r="E156" s="22">
        <f>IF(4=1,Assumptions!B137,0)</f>
        <v>0</v>
      </c>
      <c r="F156" s="22">
        <f>IF(5=1,Assumptions!B137,0)</f>
        <v>0</v>
      </c>
      <c r="G156" s="22">
        <f>IF(6=1,Assumptions!B137,0)</f>
        <v>0</v>
      </c>
      <c r="H156" s="22">
        <f>IF(7=1,Assumptions!B137,0)</f>
        <v>0</v>
      </c>
      <c r="I156" s="22">
        <f>IF(8=1,Assumptions!B137,0)</f>
        <v>0</v>
      </c>
      <c r="J156" s="22">
        <f>IF(9=1,Assumptions!B137,0)</f>
        <v>0</v>
      </c>
      <c r="K156" s="22">
        <f>IF(10=1,Assumptions!B137,0)</f>
        <v>0</v>
      </c>
      <c r="L156" s="22">
        <f>IF(11=1,Assumptions!B137,0)</f>
        <v>0</v>
      </c>
      <c r="M156" s="22">
        <f>IF(12=1,Assumptions!B137,0)</f>
        <v>0</v>
      </c>
      <c r="N156" s="22">
        <f>IF(13=1,Assumptions!B137,0)</f>
        <v>0</v>
      </c>
      <c r="O156" s="22">
        <f>IF(14=1,Assumptions!B137,0)</f>
        <v>0</v>
      </c>
      <c r="P156" s="22">
        <f>IF(15=1,Assumptions!B137,0)</f>
        <v>0</v>
      </c>
      <c r="Q156" s="22">
        <f>IF(16=1,Assumptions!B137,0)</f>
        <v>0</v>
      </c>
      <c r="R156" s="22">
        <f>IF(17=1,Assumptions!B137,0)</f>
        <v>0</v>
      </c>
      <c r="S156" s="22">
        <f>IF(18=1,Assumptions!B137,0)</f>
        <v>0</v>
      </c>
      <c r="T156" s="22">
        <f>IF(19=1,Assumptions!B137,0)</f>
        <v>0</v>
      </c>
      <c r="U156" s="22">
        <f>IF(20=1,Assumptions!B137,0)</f>
        <v>0</v>
      </c>
      <c r="V156" s="22">
        <f>IF(21=1,Assumptions!B137,0)</f>
        <v>0</v>
      </c>
      <c r="W156" s="22">
        <f>IF(22=1,Assumptions!B137,0)</f>
        <v>0</v>
      </c>
      <c r="X156" s="22">
        <f>IF(23=1,Assumptions!B137,0)</f>
        <v>0</v>
      </c>
      <c r="Y156" s="22">
        <f>IF(24=1,Assumptions!B137,0)</f>
        <v>0</v>
      </c>
      <c r="Z156" s="22">
        <f t="shared" si="41"/>
        <v>200</v>
      </c>
    </row>
    <row r="157" ht="15.75" customHeight="1">
      <c r="A157" s="21" t="s">
        <v>167</v>
      </c>
      <c r="B157" s="22">
        <f>IF(1=3,Assumptions!B138,0)</f>
        <v>0</v>
      </c>
      <c r="C157" s="22">
        <f>IF(2=3,Assumptions!B138,0)</f>
        <v>0</v>
      </c>
      <c r="D157" s="22">
        <f>IF(3=3,Assumptions!B138,0)</f>
        <v>1250</v>
      </c>
      <c r="E157" s="22">
        <f>IF(4=3,Assumptions!B138,0)</f>
        <v>0</v>
      </c>
      <c r="F157" s="22">
        <f>IF(5=3,Assumptions!B138,0)</f>
        <v>0</v>
      </c>
      <c r="G157" s="22">
        <f>IF(6=3,Assumptions!B138,0)</f>
        <v>0</v>
      </c>
      <c r="H157" s="22">
        <f>IF(7=3,Assumptions!B138,0)</f>
        <v>0</v>
      </c>
      <c r="I157" s="22">
        <f>IF(8=3,Assumptions!B138,0)</f>
        <v>0</v>
      </c>
      <c r="J157" s="22">
        <f>IF(9=3,Assumptions!B138,0)</f>
        <v>0</v>
      </c>
      <c r="K157" s="22">
        <f>IF(10=3,Assumptions!B138,0)</f>
        <v>0</v>
      </c>
      <c r="L157" s="22">
        <f>IF(11=3,Assumptions!B138,0)</f>
        <v>0</v>
      </c>
      <c r="M157" s="22">
        <f>IF(12=3,Assumptions!B138,0)</f>
        <v>0</v>
      </c>
      <c r="N157" s="22">
        <f>IF(13=3,Assumptions!B138,0)</f>
        <v>0</v>
      </c>
      <c r="O157" s="22">
        <f>IF(14=3,Assumptions!B138,0)</f>
        <v>0</v>
      </c>
      <c r="P157" s="22">
        <f>IF(15=3,Assumptions!B138,0)</f>
        <v>0</v>
      </c>
      <c r="Q157" s="22">
        <f>IF(16=3,Assumptions!B138,0)</f>
        <v>0</v>
      </c>
      <c r="R157" s="22">
        <f>IF(17=3,Assumptions!B138,0)</f>
        <v>0</v>
      </c>
      <c r="S157" s="22">
        <f>IF(18=3,Assumptions!B138,0)</f>
        <v>0</v>
      </c>
      <c r="T157" s="22">
        <f>IF(19=3,Assumptions!B138,0)</f>
        <v>0</v>
      </c>
      <c r="U157" s="22">
        <f>IF(20=3,Assumptions!B138,0)</f>
        <v>0</v>
      </c>
      <c r="V157" s="22">
        <f>IF(21=3,Assumptions!B138,0)</f>
        <v>0</v>
      </c>
      <c r="W157" s="22">
        <f>IF(22=3,Assumptions!B138,0)</f>
        <v>0</v>
      </c>
      <c r="X157" s="22">
        <f>IF(23=3,Assumptions!B138,0)</f>
        <v>0</v>
      </c>
      <c r="Y157" s="22">
        <f>IF(24=3,Assumptions!B138,0)</f>
        <v>0</v>
      </c>
      <c r="Z157" s="22">
        <f t="shared" si="41"/>
        <v>1250</v>
      </c>
    </row>
    <row r="158" ht="15.75" customHeight="1">
      <c r="A158" s="21" t="s">
        <v>168</v>
      </c>
      <c r="B158" s="22">
        <f>IF(1=14,Assumptions!B139,0)</f>
        <v>0</v>
      </c>
      <c r="C158" s="22">
        <f>IF(2=14,Assumptions!B139,0)</f>
        <v>0</v>
      </c>
      <c r="D158" s="22">
        <f>IF(3=14,Assumptions!B139,0)</f>
        <v>0</v>
      </c>
      <c r="E158" s="22">
        <f>IF(4=14,Assumptions!B139,0)</f>
        <v>0</v>
      </c>
      <c r="F158" s="22">
        <f>IF(5=14,Assumptions!B139,0)</f>
        <v>0</v>
      </c>
      <c r="G158" s="22">
        <f>IF(6=14,Assumptions!B139,0)</f>
        <v>0</v>
      </c>
      <c r="H158" s="22">
        <f>IF(7=14,Assumptions!B139,0)</f>
        <v>0</v>
      </c>
      <c r="I158" s="22">
        <f>IF(8=14,Assumptions!B139,0)</f>
        <v>0</v>
      </c>
      <c r="J158" s="22">
        <f>IF(9=14,Assumptions!B139,0)</f>
        <v>0</v>
      </c>
      <c r="K158" s="22">
        <f>IF(10=14,Assumptions!B139,0)</f>
        <v>0</v>
      </c>
      <c r="L158" s="22">
        <f>IF(11=14,Assumptions!B139,0)</f>
        <v>0</v>
      </c>
      <c r="M158" s="22">
        <f>IF(12=14,Assumptions!B139,0)</f>
        <v>0</v>
      </c>
      <c r="N158" s="22">
        <f>IF(13=14,Assumptions!B139,0)</f>
        <v>0</v>
      </c>
      <c r="O158" s="22">
        <f>IF(14=14,Assumptions!B139,0)</f>
        <v>19000</v>
      </c>
      <c r="P158" s="22">
        <f>IF(15=14,Assumptions!B139,0)</f>
        <v>0</v>
      </c>
      <c r="Q158" s="22">
        <f>IF(16=14,Assumptions!B139,0)</f>
        <v>0</v>
      </c>
      <c r="R158" s="22">
        <f>IF(17=14,Assumptions!B139,0)</f>
        <v>0</v>
      </c>
      <c r="S158" s="22">
        <f>IF(18=14,Assumptions!B139,0)</f>
        <v>0</v>
      </c>
      <c r="T158" s="22">
        <f>IF(19=14,Assumptions!B139,0)</f>
        <v>0</v>
      </c>
      <c r="U158" s="22">
        <f>IF(20=14,Assumptions!B139,0)</f>
        <v>0</v>
      </c>
      <c r="V158" s="22">
        <f>IF(21=14,Assumptions!B139,0)</f>
        <v>0</v>
      </c>
      <c r="W158" s="22">
        <f>IF(22=14,Assumptions!B139,0)</f>
        <v>0</v>
      </c>
      <c r="X158" s="22">
        <f>IF(23=14,Assumptions!B139,0)</f>
        <v>0</v>
      </c>
      <c r="Y158" s="22">
        <f>IF(24=14,Assumptions!B139,0)</f>
        <v>0</v>
      </c>
      <c r="Z158" s="22">
        <f t="shared" si="41"/>
        <v>19000</v>
      </c>
    </row>
    <row r="159" ht="15.75" customHeight="1">
      <c r="A159" s="7" t="s">
        <v>169</v>
      </c>
      <c r="B159" s="8">
        <f>ROUND((Assumptions!B102+Assumptions!B103+Assumptions!B104+Assumptions!B105+Assumptions!B106+Assumptions!B107+Assumptions!B108+Assumptions!B137)/Assumptions!B119,0)</f>
        <v>1283</v>
      </c>
      <c r="C159" s="8">
        <f>ROUND((Assumptions!B102+Assumptions!B103+Assumptions!B104+Assumptions!B105+Assumptions!B106+Assumptions!B107+Assumptions!B108+Assumptions!B137)/Assumptions!B119,0)</f>
        <v>1283</v>
      </c>
      <c r="D159" s="8">
        <f>ROUND((Assumptions!B102+Assumptions!B103+Assumptions!B104+Assumptions!B105+Assumptions!B106+Assumptions!B107+Assumptions!B108+Assumptions!B137+Assumptions!B109+Assumptions!B110+Assumptions!B111+Assumptions!B112+Assumptions!B113+Assumptions!B114+Assumptions!B115+Assumptions!B116+Assumptions!B117+Assumptions!B138)/Assumptions!B119,0)</f>
        <v>4161</v>
      </c>
      <c r="E159" s="8">
        <f>ROUND((Assumptions!B102+Assumptions!B103+Assumptions!B104+Assumptions!B105+Assumptions!B106+Assumptions!B107+Assumptions!B108+Assumptions!B137+Assumptions!B109+Assumptions!B110+Assumptions!B111+Assumptions!B112+Assumptions!B113+Assumptions!B114+Assumptions!B115+Assumptions!B116+Assumptions!B117+Assumptions!B138)/Assumptions!B119,0)</f>
        <v>4161</v>
      </c>
      <c r="F159" s="8">
        <f>ROUND((Assumptions!B102+Assumptions!B103+Assumptions!B104+Assumptions!B105+Assumptions!B106+Assumptions!B107+Assumptions!B108+Assumptions!B137+Assumptions!B109+Assumptions!B110+Assumptions!B111+Assumptions!B112+Assumptions!B113+Assumptions!B114+Assumptions!B115+Assumptions!B116+Assumptions!B117+Assumptions!B138)/Assumptions!B119,0)</f>
        <v>4161</v>
      </c>
      <c r="G159" s="8">
        <f>ROUND((Assumptions!B102+Assumptions!B103+Assumptions!B104+Assumptions!B105+Assumptions!B106+Assumptions!B107+Assumptions!B108+Assumptions!B137+Assumptions!B109+Assumptions!B110+Assumptions!B111+Assumptions!B112+Assumptions!B113+Assumptions!B114+Assumptions!B115+Assumptions!B116+Assumptions!B117+Assumptions!B138)/Assumptions!B119,0)</f>
        <v>4161</v>
      </c>
      <c r="H159" s="8">
        <f>ROUND((Assumptions!B102+Assumptions!B103+Assumptions!B104+Assumptions!B105+Assumptions!B106+Assumptions!B107+Assumptions!B108+Assumptions!B137+Assumptions!B109+Assumptions!B110+Assumptions!B111+Assumptions!B112+Assumptions!B113+Assumptions!B114+Assumptions!B115+Assumptions!B116+Assumptions!B117+Assumptions!B138)/Assumptions!B119,0)</f>
        <v>4161</v>
      </c>
      <c r="I159" s="8">
        <f>ROUND((Assumptions!B102+Assumptions!B103+Assumptions!B104+Assumptions!B105+Assumptions!B106+Assumptions!B107+Assumptions!B108+Assumptions!B137+Assumptions!B109+Assumptions!B110+Assumptions!B111+Assumptions!B112+Assumptions!B113+Assumptions!B114+Assumptions!B115+Assumptions!B116+Assumptions!B117+Assumptions!B138)/Assumptions!B119,0)</f>
        <v>4161</v>
      </c>
      <c r="J159" s="8">
        <f>ROUND((Assumptions!B102+Assumptions!B103+Assumptions!B104+Assumptions!B105+Assumptions!B106+Assumptions!B107+Assumptions!B108+Assumptions!B137+Assumptions!B109+Assumptions!B110+Assumptions!B111+Assumptions!B112+Assumptions!B113+Assumptions!B114+Assumptions!B115+Assumptions!B116+Assumptions!B117+Assumptions!B138)/Assumptions!B119,0)</f>
        <v>4161</v>
      </c>
      <c r="K159" s="8">
        <f>ROUND((Assumptions!B102+Assumptions!B103+Assumptions!B104+Assumptions!B105+Assumptions!B106+Assumptions!B107+Assumptions!B108+Assumptions!B137+Assumptions!B109+Assumptions!B110+Assumptions!B111+Assumptions!B112+Assumptions!B113+Assumptions!B114+Assumptions!B115+Assumptions!B116+Assumptions!B117+Assumptions!B138)/Assumptions!B119,0)</f>
        <v>4161</v>
      </c>
      <c r="L159" s="8">
        <f>ROUND((Assumptions!B102+Assumptions!B103+Assumptions!B104+Assumptions!B105+Assumptions!B106+Assumptions!B107+Assumptions!B108+Assumptions!B137+Assumptions!B109+Assumptions!B110+Assumptions!B111+Assumptions!B112+Assumptions!B113+Assumptions!B114+Assumptions!B115+Assumptions!B116+Assumptions!B117+Assumptions!B138)/Assumptions!B119,0)</f>
        <v>4161</v>
      </c>
      <c r="M159" s="8">
        <f>ROUND((Assumptions!B102+Assumptions!B103+Assumptions!B104+Assumptions!B105+Assumptions!B106+Assumptions!B107+Assumptions!B108+Assumptions!B137+Assumptions!B109+Assumptions!B110+Assumptions!B111+Assumptions!B112+Assumptions!B113+Assumptions!B114+Assumptions!B115+Assumptions!B116+Assumptions!B117+Assumptions!B138)/Assumptions!B119,0)</f>
        <v>4161</v>
      </c>
      <c r="N159" s="8">
        <f>ROUND((Assumptions!B102+Assumptions!B103+Assumptions!B104+Assumptions!B105+Assumptions!B106+Assumptions!B107+Assumptions!B108+Assumptions!B137+Assumptions!B109+Assumptions!B110+Assumptions!B111+Assumptions!B112+Assumptions!B113+Assumptions!B114+Assumptions!B115+Assumptions!B116+Assumptions!B117+Assumptions!B138)/Assumptions!B119,0)</f>
        <v>4161</v>
      </c>
      <c r="O159" s="8">
        <f>ROUND((Assumptions!B102+Assumptions!B103+Assumptions!B104+Assumptions!B105+Assumptions!B106+Assumptions!B107+Assumptions!B108+Assumptions!B137+Assumptions!B109+Assumptions!B110+Assumptions!B111+Assumptions!B112+Assumptions!B113+Assumptions!B114+Assumptions!B115+Assumptions!B116+Assumptions!B117+Assumptions!B138+Assumptions!B139)/Assumptions!B119,0)</f>
        <v>4689</v>
      </c>
      <c r="P159" s="8">
        <f>ROUND((Assumptions!B102+Assumptions!B103+Assumptions!B104+Assumptions!B105+Assumptions!B106+Assumptions!B107+Assumptions!B108+Assumptions!B137+Assumptions!B109+Assumptions!B110+Assumptions!B111+Assumptions!B112+Assumptions!B113+Assumptions!B114+Assumptions!B115+Assumptions!B116+Assumptions!B117+Assumptions!B138+Assumptions!B139)/Assumptions!B119,0)</f>
        <v>4689</v>
      </c>
      <c r="Q159" s="8">
        <f>ROUND((Assumptions!B102+Assumptions!B103+Assumptions!B104+Assumptions!B105+Assumptions!B106+Assumptions!B107+Assumptions!B108+Assumptions!B137+Assumptions!B109+Assumptions!B110+Assumptions!B111+Assumptions!B112+Assumptions!B113+Assumptions!B114+Assumptions!B115+Assumptions!B116+Assumptions!B117+Assumptions!B138+Assumptions!B139)/Assumptions!B119,0)</f>
        <v>4689</v>
      </c>
      <c r="R159" s="8">
        <f>ROUND((Assumptions!B102+Assumptions!B103+Assumptions!B104+Assumptions!B105+Assumptions!B106+Assumptions!B107+Assumptions!B108+Assumptions!B137+Assumptions!B109+Assumptions!B110+Assumptions!B111+Assumptions!B112+Assumptions!B113+Assumptions!B114+Assumptions!B115+Assumptions!B116+Assumptions!B117+Assumptions!B138+Assumptions!B139)/Assumptions!B119,0)</f>
        <v>4689</v>
      </c>
      <c r="S159" s="8">
        <f>ROUND((Assumptions!B102+Assumptions!B103+Assumptions!B104+Assumptions!B105+Assumptions!B106+Assumptions!B107+Assumptions!B108+Assumptions!B137+Assumptions!B109+Assumptions!B110+Assumptions!B111+Assumptions!B112+Assumptions!B113+Assumptions!B114+Assumptions!B115+Assumptions!B116+Assumptions!B117+Assumptions!B138+Assumptions!B139)/Assumptions!B119,0)</f>
        <v>4689</v>
      </c>
      <c r="T159" s="8">
        <f>ROUND((Assumptions!B102+Assumptions!B103+Assumptions!B104+Assumptions!B105+Assumptions!B106+Assumptions!B107+Assumptions!B108+Assumptions!B137+Assumptions!B109+Assumptions!B110+Assumptions!B111+Assumptions!B112+Assumptions!B113+Assumptions!B114+Assumptions!B115+Assumptions!B116+Assumptions!B117+Assumptions!B138+Assumptions!B139)/Assumptions!B119,0)</f>
        <v>4689</v>
      </c>
      <c r="U159" s="8">
        <f>ROUND((Assumptions!B102+Assumptions!B103+Assumptions!B104+Assumptions!B105+Assumptions!B106+Assumptions!B107+Assumptions!B108+Assumptions!B137+Assumptions!B109+Assumptions!B110+Assumptions!B111+Assumptions!B112+Assumptions!B113+Assumptions!B114+Assumptions!B115+Assumptions!B116+Assumptions!B117+Assumptions!B138+Assumptions!B139)/Assumptions!B119,0)</f>
        <v>4689</v>
      </c>
      <c r="V159" s="8">
        <f>ROUND((Assumptions!B102+Assumptions!B103+Assumptions!B104+Assumptions!B105+Assumptions!B106+Assumptions!B107+Assumptions!B108+Assumptions!B137+Assumptions!B109+Assumptions!B110+Assumptions!B111+Assumptions!B112+Assumptions!B113+Assumptions!B114+Assumptions!B115+Assumptions!B116+Assumptions!B117+Assumptions!B138+Assumptions!B139)/Assumptions!B119,0)</f>
        <v>4689</v>
      </c>
      <c r="W159" s="8">
        <f>ROUND((Assumptions!B102+Assumptions!B103+Assumptions!B104+Assumptions!B105+Assumptions!B106+Assumptions!B107+Assumptions!B108+Assumptions!B137+Assumptions!B109+Assumptions!B110+Assumptions!B111+Assumptions!B112+Assumptions!B113+Assumptions!B114+Assumptions!B115+Assumptions!B116+Assumptions!B117+Assumptions!B138+Assumptions!B139)/Assumptions!B119,0)</f>
        <v>4689</v>
      </c>
      <c r="X159" s="8">
        <f>ROUND((Assumptions!B102+Assumptions!B103+Assumptions!B104+Assumptions!B105+Assumptions!B106+Assumptions!B107+Assumptions!B108+Assumptions!B137+Assumptions!B109+Assumptions!B110+Assumptions!B111+Assumptions!B112+Assumptions!B113+Assumptions!B114+Assumptions!B115+Assumptions!B116+Assumptions!B117+Assumptions!B138+Assumptions!B139)/Assumptions!B119,0)</f>
        <v>4689</v>
      </c>
      <c r="Y159" s="8">
        <f>ROUND((Assumptions!B102+Assumptions!B103+Assumptions!B104+Assumptions!B105+Assumptions!B106+Assumptions!B107+Assumptions!B108+Assumptions!B137+Assumptions!B109+Assumptions!B110+Assumptions!B111+Assumptions!B112+Assumptions!B113+Assumptions!B114+Assumptions!B115+Assumptions!B116+Assumptions!B117+Assumptions!B138+Assumptions!B139)/Assumptions!B119,0)</f>
        <v>4689</v>
      </c>
      <c r="Z159" s="8">
        <f t="shared" si="41"/>
        <v>99916</v>
      </c>
    </row>
    <row r="160" ht="15.75" customHeight="1">
      <c r="A160" s="9" t="s">
        <v>170</v>
      </c>
      <c r="B160" s="10">
        <f t="shared" ref="B160:Y160" si="42">B136-B159</f>
        <v>-16262</v>
      </c>
      <c r="C160" s="10">
        <f t="shared" si="42"/>
        <v>-16262</v>
      </c>
      <c r="D160" s="10">
        <f t="shared" si="42"/>
        <v>-19745</v>
      </c>
      <c r="E160" s="10">
        <f t="shared" si="42"/>
        <v>-20876</v>
      </c>
      <c r="F160" s="10">
        <f t="shared" si="42"/>
        <v>-19632</v>
      </c>
      <c r="G160" s="10">
        <f t="shared" si="42"/>
        <v>-20343</v>
      </c>
      <c r="H160" s="10">
        <f t="shared" si="42"/>
        <v>-17552</v>
      </c>
      <c r="I160" s="10">
        <f t="shared" si="42"/>
        <v>-13983</v>
      </c>
      <c r="J160" s="10">
        <f t="shared" si="42"/>
        <v>-10417</v>
      </c>
      <c r="K160" s="10">
        <f t="shared" si="42"/>
        <v>-6189</v>
      </c>
      <c r="L160" s="10">
        <f t="shared" si="42"/>
        <v>-2215</v>
      </c>
      <c r="M160" s="10">
        <f t="shared" si="42"/>
        <v>2440</v>
      </c>
      <c r="N160" s="10">
        <f t="shared" si="42"/>
        <v>6944</v>
      </c>
      <c r="O160" s="10">
        <f t="shared" si="42"/>
        <v>11338</v>
      </c>
      <c r="P160" s="10">
        <f t="shared" si="42"/>
        <v>16402</v>
      </c>
      <c r="Q160" s="10">
        <f t="shared" si="42"/>
        <v>23010</v>
      </c>
      <c r="R160" s="10">
        <f t="shared" si="42"/>
        <v>29541</v>
      </c>
      <c r="S160" s="10">
        <f t="shared" si="42"/>
        <v>23687</v>
      </c>
      <c r="T160" s="10">
        <f t="shared" si="42"/>
        <v>33960</v>
      </c>
      <c r="U160" s="10">
        <f t="shared" si="42"/>
        <v>41018</v>
      </c>
      <c r="V160" s="10">
        <f t="shared" si="42"/>
        <v>48988</v>
      </c>
      <c r="W160" s="10">
        <f t="shared" si="42"/>
        <v>57222</v>
      </c>
      <c r="X160" s="10">
        <f t="shared" si="42"/>
        <v>65193</v>
      </c>
      <c r="Y160" s="10">
        <f t="shared" si="42"/>
        <v>73121</v>
      </c>
      <c r="Z160" s="10">
        <f t="shared" si="41"/>
        <v>269388</v>
      </c>
    </row>
    <row r="161" ht="15.75" customHeight="1">
      <c r="A161" s="7" t="s">
        <v>171</v>
      </c>
      <c r="B161" s="25">
        <f t="shared" ref="B161:Z161" si="43">IF(B47&gt;0,B160/B47,0)</f>
        <v>0</v>
      </c>
      <c r="C161" s="25">
        <f t="shared" si="43"/>
        <v>0</v>
      </c>
      <c r="D161" s="25">
        <f t="shared" si="43"/>
        <v>0</v>
      </c>
      <c r="E161" s="25">
        <f t="shared" si="43"/>
        <v>-4.344640999</v>
      </c>
      <c r="F161" s="25">
        <f t="shared" si="43"/>
        <v>-2.336864659</v>
      </c>
      <c r="G161" s="25">
        <f t="shared" si="43"/>
        <v>-1.564605445</v>
      </c>
      <c r="H161" s="25">
        <f t="shared" si="43"/>
        <v>-0.8728864134</v>
      </c>
      <c r="I161" s="25">
        <f t="shared" si="43"/>
        <v>-0.5078264028</v>
      </c>
      <c r="J161" s="25">
        <f t="shared" si="43"/>
        <v>-0.2989353459</v>
      </c>
      <c r="K161" s="25">
        <f t="shared" si="43"/>
        <v>-0.1393542286</v>
      </c>
      <c r="L161" s="25">
        <f t="shared" si="43"/>
        <v>-0.04123001322</v>
      </c>
      <c r="M161" s="25">
        <f t="shared" si="43"/>
        <v>0.03845184065</v>
      </c>
      <c r="N161" s="25">
        <f t="shared" si="43"/>
        <v>0.09219575666</v>
      </c>
      <c r="O161" s="25">
        <f t="shared" si="43"/>
        <v>0.1305063481</v>
      </c>
      <c r="P161" s="25">
        <f t="shared" si="43"/>
        <v>0.1654428082</v>
      </c>
      <c r="Q161" s="25">
        <f t="shared" si="43"/>
        <v>0.1992828934</v>
      </c>
      <c r="R161" s="25">
        <f t="shared" si="43"/>
        <v>0.2238158014</v>
      </c>
      <c r="S161" s="25">
        <f t="shared" si="43"/>
        <v>0.1592692455</v>
      </c>
      <c r="T161" s="25">
        <f t="shared" si="43"/>
        <v>0.2055229761</v>
      </c>
      <c r="U161" s="25">
        <f t="shared" si="43"/>
        <v>0.2248917156</v>
      </c>
      <c r="V161" s="25">
        <f t="shared" si="43"/>
        <v>0.2406811471</v>
      </c>
      <c r="W161" s="25">
        <f t="shared" si="43"/>
        <v>0.2547502449</v>
      </c>
      <c r="X161" s="25">
        <f t="shared" si="43"/>
        <v>0.2653843805</v>
      </c>
      <c r="Y161" s="25">
        <f t="shared" si="43"/>
        <v>0.2746473054</v>
      </c>
      <c r="Z161" s="25">
        <f t="shared" si="43"/>
        <v>0.1215937343</v>
      </c>
    </row>
    <row r="162" ht="15.75" customHeight="1">
      <c r="A162" s="11"/>
    </row>
    <row r="163" ht="15.75" customHeight="1">
      <c r="A163" s="23" t="s">
        <v>172</v>
      </c>
      <c r="B163" s="24">
        <f t="shared" ref="B163:Y163" si="44">B140+B141+B142+B143+B144+B145+B146+B147+B148+B149+B150+B151+B152+B153+B154+B155+B156+B157+B158</f>
        <v>46200</v>
      </c>
      <c r="C163" s="24">
        <f t="shared" si="44"/>
        <v>0</v>
      </c>
      <c r="D163" s="24">
        <f t="shared" si="44"/>
        <v>103610</v>
      </c>
      <c r="E163" s="24">
        <f t="shared" si="44"/>
        <v>0</v>
      </c>
      <c r="F163" s="24">
        <f t="shared" si="44"/>
        <v>0</v>
      </c>
      <c r="G163" s="24">
        <f t="shared" si="44"/>
        <v>0</v>
      </c>
      <c r="H163" s="24">
        <f t="shared" si="44"/>
        <v>0</v>
      </c>
      <c r="I163" s="24">
        <f t="shared" si="44"/>
        <v>0</v>
      </c>
      <c r="J163" s="24">
        <f t="shared" si="44"/>
        <v>0</v>
      </c>
      <c r="K163" s="24">
        <f t="shared" si="44"/>
        <v>0</v>
      </c>
      <c r="L163" s="24">
        <f t="shared" si="44"/>
        <v>0</v>
      </c>
      <c r="M163" s="24">
        <f t="shared" si="44"/>
        <v>0</v>
      </c>
      <c r="N163" s="24">
        <f t="shared" si="44"/>
        <v>0</v>
      </c>
      <c r="O163" s="24">
        <f t="shared" si="44"/>
        <v>19000</v>
      </c>
      <c r="P163" s="24">
        <f t="shared" si="44"/>
        <v>0</v>
      </c>
      <c r="Q163" s="24">
        <f t="shared" si="44"/>
        <v>0</v>
      </c>
      <c r="R163" s="24">
        <f t="shared" si="44"/>
        <v>0</v>
      </c>
      <c r="S163" s="24">
        <f t="shared" si="44"/>
        <v>0</v>
      </c>
      <c r="T163" s="24">
        <f t="shared" si="44"/>
        <v>0</v>
      </c>
      <c r="U163" s="24">
        <f t="shared" si="44"/>
        <v>0</v>
      </c>
      <c r="V163" s="24">
        <f t="shared" si="44"/>
        <v>0</v>
      </c>
      <c r="W163" s="24">
        <f t="shared" si="44"/>
        <v>0</v>
      </c>
      <c r="X163" s="24">
        <f t="shared" si="44"/>
        <v>0</v>
      </c>
      <c r="Y163" s="24">
        <f t="shared" si="44"/>
        <v>0</v>
      </c>
      <c r="Z163" s="24">
        <f>SUM(B163:Y163)</f>
        <v>168810</v>
      </c>
    </row>
    <row r="164" ht="15.75" customHeight="1">
      <c r="A164" s="11"/>
    </row>
    <row r="165" ht="15.75" customHeight="1">
      <c r="A165" s="23" t="s">
        <v>173</v>
      </c>
      <c r="B165" s="24">
        <f t="shared" ref="B165:Y165" si="45">B136-B163</f>
        <v>-61179</v>
      </c>
      <c r="C165" s="24">
        <f t="shared" si="45"/>
        <v>-14979</v>
      </c>
      <c r="D165" s="24">
        <f t="shared" si="45"/>
        <v>-119194</v>
      </c>
      <c r="E165" s="24">
        <f t="shared" si="45"/>
        <v>-16715</v>
      </c>
      <c r="F165" s="24">
        <f t="shared" si="45"/>
        <v>-15471</v>
      </c>
      <c r="G165" s="24">
        <f t="shared" si="45"/>
        <v>-16182</v>
      </c>
      <c r="H165" s="24">
        <f t="shared" si="45"/>
        <v>-13391</v>
      </c>
      <c r="I165" s="24">
        <f t="shared" si="45"/>
        <v>-9822</v>
      </c>
      <c r="J165" s="24">
        <f t="shared" si="45"/>
        <v>-6256</v>
      </c>
      <c r="K165" s="24">
        <f t="shared" si="45"/>
        <v>-2028</v>
      </c>
      <c r="L165" s="24">
        <f t="shared" si="45"/>
        <v>1946</v>
      </c>
      <c r="M165" s="24">
        <f t="shared" si="45"/>
        <v>6601</v>
      </c>
      <c r="N165" s="24">
        <f t="shared" si="45"/>
        <v>11105</v>
      </c>
      <c r="O165" s="24">
        <f t="shared" si="45"/>
        <v>-2973</v>
      </c>
      <c r="P165" s="24">
        <f t="shared" si="45"/>
        <v>21091</v>
      </c>
      <c r="Q165" s="24">
        <f t="shared" si="45"/>
        <v>27699</v>
      </c>
      <c r="R165" s="24">
        <f t="shared" si="45"/>
        <v>34230</v>
      </c>
      <c r="S165" s="24">
        <f t="shared" si="45"/>
        <v>28376</v>
      </c>
      <c r="T165" s="24">
        <f t="shared" si="45"/>
        <v>38649</v>
      </c>
      <c r="U165" s="24">
        <f t="shared" si="45"/>
        <v>45707</v>
      </c>
      <c r="V165" s="24">
        <f t="shared" si="45"/>
        <v>53677</v>
      </c>
      <c r="W165" s="24">
        <f t="shared" si="45"/>
        <v>61911</v>
      </c>
      <c r="X165" s="24">
        <f t="shared" si="45"/>
        <v>69882</v>
      </c>
      <c r="Y165" s="24">
        <f t="shared" si="45"/>
        <v>77810</v>
      </c>
      <c r="Z165" s="24">
        <f>SUM(B165:Y165)</f>
        <v>200494</v>
      </c>
    </row>
    <row r="166" ht="15.75" customHeight="1">
      <c r="A166" s="11"/>
    </row>
    <row r="167" ht="15.75" customHeight="1">
      <c r="A167" s="5" t="s">
        <v>174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7" t="s">
        <v>175</v>
      </c>
      <c r="B168" s="8">
        <f>B165</f>
        <v>-61179</v>
      </c>
      <c r="C168" s="8">
        <f t="shared" ref="C168:Y168" si="46">B168+C165</f>
        <v>-76158</v>
      </c>
      <c r="D168" s="8">
        <f t="shared" si="46"/>
        <v>-195352</v>
      </c>
      <c r="E168" s="8">
        <f t="shared" si="46"/>
        <v>-212067</v>
      </c>
      <c r="F168" s="8">
        <f t="shared" si="46"/>
        <v>-227538</v>
      </c>
      <c r="G168" s="8">
        <f t="shared" si="46"/>
        <v>-243720</v>
      </c>
      <c r="H168" s="8">
        <f t="shared" si="46"/>
        <v>-257111</v>
      </c>
      <c r="I168" s="8">
        <f t="shared" si="46"/>
        <v>-266933</v>
      </c>
      <c r="J168" s="8">
        <f t="shared" si="46"/>
        <v>-273189</v>
      </c>
      <c r="K168" s="8">
        <f t="shared" si="46"/>
        <v>-275217</v>
      </c>
      <c r="L168" s="8">
        <f t="shared" si="46"/>
        <v>-273271</v>
      </c>
      <c r="M168" s="8">
        <f t="shared" si="46"/>
        <v>-266670</v>
      </c>
      <c r="N168" s="8">
        <f t="shared" si="46"/>
        <v>-255565</v>
      </c>
      <c r="O168" s="8">
        <f t="shared" si="46"/>
        <v>-258538</v>
      </c>
      <c r="P168" s="8">
        <f t="shared" si="46"/>
        <v>-237447</v>
      </c>
      <c r="Q168" s="8">
        <f t="shared" si="46"/>
        <v>-209748</v>
      </c>
      <c r="R168" s="8">
        <f t="shared" si="46"/>
        <v>-175518</v>
      </c>
      <c r="S168" s="8">
        <f t="shared" si="46"/>
        <v>-147142</v>
      </c>
      <c r="T168" s="8">
        <f t="shared" si="46"/>
        <v>-108493</v>
      </c>
      <c r="U168" s="8">
        <f t="shared" si="46"/>
        <v>-62786</v>
      </c>
      <c r="V168" s="8">
        <f t="shared" si="46"/>
        <v>-9109</v>
      </c>
      <c r="W168" s="8">
        <f t="shared" si="46"/>
        <v>52802</v>
      </c>
      <c r="X168" s="8">
        <f t="shared" si="46"/>
        <v>122684</v>
      </c>
      <c r="Y168" s="8">
        <f t="shared" si="46"/>
        <v>200494</v>
      </c>
      <c r="Z168" s="30">
        <f>Y168</f>
        <v>200494</v>
      </c>
    </row>
    <row r="169" ht="15.75" customHeight="1">
      <c r="A169" s="21" t="s">
        <v>176</v>
      </c>
      <c r="B169" s="22">
        <f>IF(AND(B165&gt;0,B168&gt;0),ROUND(B165*Assumptions!B99,0),0)</f>
        <v>0</v>
      </c>
      <c r="C169" s="22">
        <f>IF(AND(C165&gt;0,C168&gt;0),ROUND(C165*Assumptions!B99,0),0)</f>
        <v>0</v>
      </c>
      <c r="D169" s="22">
        <f>IF(AND(D165&gt;0,D168&gt;0),ROUND(D165*Assumptions!B99,0),0)</f>
        <v>0</v>
      </c>
      <c r="E169" s="22">
        <f>IF(AND(E165&gt;0,E168&gt;0),ROUND(E165*Assumptions!B99,0),0)</f>
        <v>0</v>
      </c>
      <c r="F169" s="22">
        <f>IF(AND(F165&gt;0,F168&gt;0),ROUND(F165*Assumptions!B99,0),0)</f>
        <v>0</v>
      </c>
      <c r="G169" s="22">
        <f>IF(AND(G165&gt;0,G168&gt;0),ROUND(G165*Assumptions!B99,0),0)</f>
        <v>0</v>
      </c>
      <c r="H169" s="22">
        <f>IF(AND(H165&gt;0,H168&gt;0),ROUND(H165*Assumptions!B99,0),0)</f>
        <v>0</v>
      </c>
      <c r="I169" s="22">
        <f>IF(AND(I165&gt;0,I168&gt;0),ROUND(I165*Assumptions!B99,0),0)</f>
        <v>0</v>
      </c>
      <c r="J169" s="22">
        <f>IF(AND(J165&gt;0,J168&gt;0),ROUND(J165*Assumptions!B99,0),0)</f>
        <v>0</v>
      </c>
      <c r="K169" s="22">
        <f>IF(AND(K165&gt;0,K168&gt;0),ROUND(K165*Assumptions!B99,0),0)</f>
        <v>0</v>
      </c>
      <c r="L169" s="22">
        <f>IF(AND(L165&gt;0,L168&gt;0),ROUND(L165*Assumptions!B99,0),0)</f>
        <v>0</v>
      </c>
      <c r="M169" s="22">
        <f>IF(AND(M165&gt;0,M168&gt;0),ROUND(M165*Assumptions!B99,0),0)</f>
        <v>0</v>
      </c>
      <c r="N169" s="22">
        <f>IF(AND(N165&gt;0,N168&gt;0),ROUND(N165*Assumptions!B99,0),0)</f>
        <v>0</v>
      </c>
      <c r="O169" s="22">
        <f>IF(AND(O165&gt;0,O168&gt;0),ROUND(O165*Assumptions!B99,0),0)</f>
        <v>0</v>
      </c>
      <c r="P169" s="22">
        <f>IF(AND(P165&gt;0,P168&gt;0),ROUND(P165*Assumptions!B99,0),0)</f>
        <v>0</v>
      </c>
      <c r="Q169" s="22">
        <f>IF(AND(Q165&gt;0,Q168&gt;0),ROUND(Q165*Assumptions!B99,0),0)</f>
        <v>0</v>
      </c>
      <c r="R169" s="22">
        <f>IF(AND(R165&gt;0,R168&gt;0),ROUND(R165*Assumptions!B99,0),0)</f>
        <v>0</v>
      </c>
      <c r="S169" s="22">
        <f>IF(AND(S165&gt;0,S168&gt;0),ROUND(S165*Assumptions!B99,0),0)</f>
        <v>0</v>
      </c>
      <c r="T169" s="22">
        <f>IF(AND(T165&gt;0,T168&gt;0),ROUND(T165*Assumptions!B99,0),0)</f>
        <v>0</v>
      </c>
      <c r="U169" s="22">
        <f>IF(AND(U165&gt;0,U168&gt;0),ROUND(U165*Assumptions!B99,0),0)</f>
        <v>0</v>
      </c>
      <c r="V169" s="22">
        <f>IF(AND(V165&gt;0,V168&gt;0),ROUND(V165*Assumptions!B99,0),0)</f>
        <v>0</v>
      </c>
      <c r="W169" s="22">
        <f>IF(AND(W165&gt;0,W168&gt;0),ROUND(W165*Assumptions!B99,0),0)</f>
        <v>18573</v>
      </c>
      <c r="X169" s="22">
        <f>IF(AND(X165&gt;0,X168&gt;0),ROUND(X165*Assumptions!B99,0),0)</f>
        <v>20965</v>
      </c>
      <c r="Y169" s="22">
        <f>IF(AND(Y165&gt;0,Y168&gt;0),ROUND(Y165*Assumptions!B99,0),0)</f>
        <v>23343</v>
      </c>
      <c r="Z169" s="22">
        <f>SUM(B169:Y169)</f>
        <v>62881</v>
      </c>
    </row>
    <row r="170" ht="15.75" customHeight="1">
      <c r="A170" s="11"/>
    </row>
    <row r="171" ht="15.75" customHeight="1">
      <c r="A171" s="23" t="s">
        <v>177</v>
      </c>
      <c r="B171" s="24">
        <f t="shared" ref="B171:Y171" si="47">B165-B169</f>
        <v>-61179</v>
      </c>
      <c r="C171" s="24">
        <f t="shared" si="47"/>
        <v>-14979</v>
      </c>
      <c r="D171" s="24">
        <f t="shared" si="47"/>
        <v>-119194</v>
      </c>
      <c r="E171" s="24">
        <f t="shared" si="47"/>
        <v>-16715</v>
      </c>
      <c r="F171" s="24">
        <f t="shared" si="47"/>
        <v>-15471</v>
      </c>
      <c r="G171" s="24">
        <f t="shared" si="47"/>
        <v>-16182</v>
      </c>
      <c r="H171" s="24">
        <f t="shared" si="47"/>
        <v>-13391</v>
      </c>
      <c r="I171" s="24">
        <f t="shared" si="47"/>
        <v>-9822</v>
      </c>
      <c r="J171" s="24">
        <f t="shared" si="47"/>
        <v>-6256</v>
      </c>
      <c r="K171" s="24">
        <f t="shared" si="47"/>
        <v>-2028</v>
      </c>
      <c r="L171" s="24">
        <f t="shared" si="47"/>
        <v>1946</v>
      </c>
      <c r="M171" s="24">
        <f t="shared" si="47"/>
        <v>6601</v>
      </c>
      <c r="N171" s="24">
        <f t="shared" si="47"/>
        <v>11105</v>
      </c>
      <c r="O171" s="24">
        <f t="shared" si="47"/>
        <v>-2973</v>
      </c>
      <c r="P171" s="24">
        <f t="shared" si="47"/>
        <v>21091</v>
      </c>
      <c r="Q171" s="24">
        <f t="shared" si="47"/>
        <v>27699</v>
      </c>
      <c r="R171" s="24">
        <f t="shared" si="47"/>
        <v>34230</v>
      </c>
      <c r="S171" s="24">
        <f t="shared" si="47"/>
        <v>28376</v>
      </c>
      <c r="T171" s="24">
        <f t="shared" si="47"/>
        <v>38649</v>
      </c>
      <c r="U171" s="24">
        <f t="shared" si="47"/>
        <v>45707</v>
      </c>
      <c r="V171" s="24">
        <f t="shared" si="47"/>
        <v>53677</v>
      </c>
      <c r="W171" s="24">
        <f t="shared" si="47"/>
        <v>43338</v>
      </c>
      <c r="X171" s="24">
        <f t="shared" si="47"/>
        <v>48917</v>
      </c>
      <c r="Y171" s="24">
        <f t="shared" si="47"/>
        <v>54467</v>
      </c>
      <c r="Z171" s="24">
        <f>SUM(B171:Y171)</f>
        <v>137613</v>
      </c>
    </row>
    <row r="172" ht="15.75" customHeight="1">
      <c r="A172" s="9" t="s">
        <v>178</v>
      </c>
      <c r="B172" s="10">
        <f>500000+B171</f>
        <v>438821</v>
      </c>
      <c r="C172" s="10">
        <f t="shared" ref="C172:Y172" si="48">B172+C171</f>
        <v>423842</v>
      </c>
      <c r="D172" s="10">
        <f t="shared" si="48"/>
        <v>304648</v>
      </c>
      <c r="E172" s="10">
        <f t="shared" si="48"/>
        <v>287933</v>
      </c>
      <c r="F172" s="10">
        <f t="shared" si="48"/>
        <v>272462</v>
      </c>
      <c r="G172" s="10">
        <f t="shared" si="48"/>
        <v>256280</v>
      </c>
      <c r="H172" s="10">
        <f t="shared" si="48"/>
        <v>242889</v>
      </c>
      <c r="I172" s="10">
        <f t="shared" si="48"/>
        <v>233067</v>
      </c>
      <c r="J172" s="10">
        <f t="shared" si="48"/>
        <v>226811</v>
      </c>
      <c r="K172" s="10">
        <f t="shared" si="48"/>
        <v>224783</v>
      </c>
      <c r="L172" s="10">
        <f t="shared" si="48"/>
        <v>226729</v>
      </c>
      <c r="M172" s="10">
        <f t="shared" si="48"/>
        <v>233330</v>
      </c>
      <c r="N172" s="10">
        <f t="shared" si="48"/>
        <v>244435</v>
      </c>
      <c r="O172" s="10">
        <f t="shared" si="48"/>
        <v>241462</v>
      </c>
      <c r="P172" s="10">
        <f t="shared" si="48"/>
        <v>262553</v>
      </c>
      <c r="Q172" s="10">
        <f t="shared" si="48"/>
        <v>290252</v>
      </c>
      <c r="R172" s="10">
        <f t="shared" si="48"/>
        <v>324482</v>
      </c>
      <c r="S172" s="10">
        <f t="shared" si="48"/>
        <v>352858</v>
      </c>
      <c r="T172" s="10">
        <f t="shared" si="48"/>
        <v>391507</v>
      </c>
      <c r="U172" s="10">
        <f t="shared" si="48"/>
        <v>437214</v>
      </c>
      <c r="V172" s="10">
        <f t="shared" si="48"/>
        <v>490891</v>
      </c>
      <c r="W172" s="10">
        <f t="shared" si="48"/>
        <v>534229</v>
      </c>
      <c r="X172" s="10">
        <f t="shared" si="48"/>
        <v>583146</v>
      </c>
      <c r="Y172" s="10">
        <f t="shared" si="48"/>
        <v>637613</v>
      </c>
      <c r="Z172" s="31">
        <f>Y172</f>
        <v>637613</v>
      </c>
    </row>
    <row r="173" ht="15.75" customHeight="1">
      <c r="A173" s="11"/>
    </row>
    <row r="174" ht="15.75" customHeight="1">
      <c r="A174" s="5" t="s">
        <v>179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7" t="s">
        <v>180</v>
      </c>
      <c r="B175" s="8">
        <f t="shared" ref="B175:Y175" si="49">IF(B171&lt;0,ABS(B171),0)</f>
        <v>61179</v>
      </c>
      <c r="C175" s="8">
        <f t="shared" si="49"/>
        <v>14979</v>
      </c>
      <c r="D175" s="8">
        <f t="shared" si="49"/>
        <v>119194</v>
      </c>
      <c r="E175" s="8">
        <f t="shared" si="49"/>
        <v>16715</v>
      </c>
      <c r="F175" s="8">
        <f t="shared" si="49"/>
        <v>15471</v>
      </c>
      <c r="G175" s="8">
        <f t="shared" si="49"/>
        <v>16182</v>
      </c>
      <c r="H175" s="8">
        <f t="shared" si="49"/>
        <v>13391</v>
      </c>
      <c r="I175" s="8">
        <f t="shared" si="49"/>
        <v>9822</v>
      </c>
      <c r="J175" s="8">
        <f t="shared" si="49"/>
        <v>6256</v>
      </c>
      <c r="K175" s="8">
        <f t="shared" si="49"/>
        <v>2028</v>
      </c>
      <c r="L175" s="8">
        <f t="shared" si="49"/>
        <v>0</v>
      </c>
      <c r="M175" s="8">
        <f t="shared" si="49"/>
        <v>0</v>
      </c>
      <c r="N175" s="8">
        <f t="shared" si="49"/>
        <v>0</v>
      </c>
      <c r="O175" s="8">
        <f t="shared" si="49"/>
        <v>2973</v>
      </c>
      <c r="P175" s="8">
        <f t="shared" si="49"/>
        <v>0</v>
      </c>
      <c r="Q175" s="8">
        <f t="shared" si="49"/>
        <v>0</v>
      </c>
      <c r="R175" s="8">
        <f t="shared" si="49"/>
        <v>0</v>
      </c>
      <c r="S175" s="8">
        <f t="shared" si="49"/>
        <v>0</v>
      </c>
      <c r="T175" s="8">
        <f t="shared" si="49"/>
        <v>0</v>
      </c>
      <c r="U175" s="8">
        <f t="shared" si="49"/>
        <v>0</v>
      </c>
      <c r="V175" s="8">
        <f t="shared" si="49"/>
        <v>0</v>
      </c>
      <c r="W175" s="8">
        <f t="shared" si="49"/>
        <v>0</v>
      </c>
      <c r="X175" s="8">
        <f t="shared" si="49"/>
        <v>0</v>
      </c>
      <c r="Y175" s="8">
        <f t="shared" si="49"/>
        <v>0</v>
      </c>
      <c r="Z175" s="8">
        <f t="shared" ref="Z175:Z178" si="50">SUM(B175:Y175)</f>
        <v>278190</v>
      </c>
    </row>
    <row r="176" ht="15.75" customHeight="1">
      <c r="A176" s="7" t="s">
        <v>181</v>
      </c>
      <c r="B176" s="32">
        <f>IF('Growth Curves'!B17&gt;0,ROUND(B47/'Growth Curves'!B17,2),0)</f>
        <v>0</v>
      </c>
      <c r="C176" s="32">
        <f>IF('Growth Curves'!C17&gt;0,ROUND(C47/'Growth Curves'!C17,2),0)</f>
        <v>0</v>
      </c>
      <c r="D176" s="32">
        <f>IF('Growth Curves'!D17&gt;0,ROUND(D47/'Growth Curves'!D17,2),0)</f>
        <v>0</v>
      </c>
      <c r="E176" s="32">
        <f>IF('Growth Curves'!E17&gt;0,ROUND(E47/'Growth Curves'!E17,2),0)</f>
        <v>320.33</v>
      </c>
      <c r="F176" s="32">
        <f>IF('Growth Curves'!F17&gt;0,ROUND(F47/'Growth Curves'!F17,2),0)</f>
        <v>289.69</v>
      </c>
      <c r="G176" s="32">
        <f>IF('Growth Curves'!G17&gt;0,ROUND(G47/'Growth Curves'!G17,2),0)</f>
        <v>309.57</v>
      </c>
      <c r="H176" s="32">
        <f>IF('Growth Curves'!H17&gt;0,ROUND(H47/'Growth Curves'!H17,2),0)</f>
        <v>329.64</v>
      </c>
      <c r="I176" s="32">
        <f>IF('Growth Curves'!I17&gt;0,ROUND(I47/'Growth Curves'!I17,2),0)</f>
        <v>353.01</v>
      </c>
      <c r="J176" s="32">
        <f>IF('Growth Curves'!J17&gt;0,ROUND(J47/'Growth Curves'!J17,2),0)</f>
        <v>370.71</v>
      </c>
      <c r="K176" s="32">
        <f>IF('Growth Curves'!K17&gt;0,ROUND(K47/'Growth Curves'!K17,2),0)</f>
        <v>389.58</v>
      </c>
      <c r="L176" s="32">
        <f>IF('Growth Curves'!L17&gt;0,ROUND(L47/'Growth Curves'!L17,2),0)</f>
        <v>403.93</v>
      </c>
      <c r="M176" s="32">
        <f>IF('Growth Curves'!M17&gt;0,ROUND(M47/'Growth Curves'!M17,2),0)</f>
        <v>423.04</v>
      </c>
      <c r="N176" s="32">
        <f>IF('Growth Curves'!N17&gt;0,ROUND(N47/'Growth Curves'!N17,2),0)</f>
        <v>443.05</v>
      </c>
      <c r="O176" s="32">
        <f>IF('Growth Curves'!O17&gt;0,ROUND(O47/'Growth Curves'!O17,2),0)</f>
        <v>462.11</v>
      </c>
      <c r="P176" s="32">
        <f>IF('Growth Curves'!P17&gt;0,ROUND(P47/'Growth Curves'!P17,2),0)</f>
        <v>483.61</v>
      </c>
      <c r="Q176" s="32">
        <f>IF('Growth Curves'!Q17&gt;0,ROUND(Q47/'Growth Curves'!Q17,2),0)</f>
        <v>522.46</v>
      </c>
      <c r="R176" s="32">
        <f>IF('Growth Curves'!R17&gt;0,ROUND(R47/'Growth Curves'!R17,2),0)</f>
        <v>561.65</v>
      </c>
      <c r="S176" s="32">
        <f>IF('Growth Curves'!S17&gt;0,ROUND(S47/'Growth Curves'!S17,2),0)</f>
        <v>599.69</v>
      </c>
      <c r="T176" s="32">
        <f>IF('Growth Curves'!T17&gt;0,ROUND(T47/'Growth Curves'!T17,2),0)</f>
        <v>621.19</v>
      </c>
      <c r="U176" s="32">
        <f>IF('Growth Curves'!U17&gt;0,ROUND(U47/'Growth Curves'!U17,2),0)</f>
        <v>644.49</v>
      </c>
      <c r="V176" s="32">
        <f>IF('Growth Curves'!V17&gt;0,ROUND(V47/'Growth Curves'!V17,2),0)</f>
        <v>683.02</v>
      </c>
      <c r="W176" s="32">
        <f>IF('Growth Curves'!W17&gt;0,ROUND(W47/'Growth Curves'!W17,2),0)</f>
        <v>719.94</v>
      </c>
      <c r="X176" s="32">
        <f>IF('Growth Curves'!X17&gt;0,ROUND(X47/'Growth Curves'!X17,2),0)</f>
        <v>755.86</v>
      </c>
      <c r="Y176" s="32">
        <f>IF('Growth Curves'!Y17&gt;0,ROUND(Y47/'Growth Curves'!Y17,2),0)</f>
        <v>790.02</v>
      </c>
      <c r="Z176" s="32">
        <f t="shared" si="50"/>
        <v>10476.59</v>
      </c>
    </row>
    <row r="177" ht="15.75" customHeight="1">
      <c r="A177" s="7" t="s">
        <v>182</v>
      </c>
      <c r="B177" s="32">
        <f>IF('Growth Curves'!B17&gt;0,ROUND(B42/'Growth Curves'!B17,2),0)</f>
        <v>0</v>
      </c>
      <c r="C177" s="32">
        <f>IF('Growth Curves'!C17&gt;0,ROUND(C42/'Growth Curves'!C17,2),0)</f>
        <v>0</v>
      </c>
      <c r="D177" s="32">
        <f>IF('Growth Curves'!D17&gt;0,ROUND(D42/'Growth Curves'!D17,2),0)</f>
        <v>0</v>
      </c>
      <c r="E177" s="32">
        <f>IF('Growth Curves'!E17&gt;0,ROUND(E42/'Growth Curves'!E17,2),0)</f>
        <v>35.13</v>
      </c>
      <c r="F177" s="32">
        <f>IF('Growth Curves'!F17&gt;0,ROUND(F42/'Growth Curves'!F17,2),0)</f>
        <v>37.38</v>
      </c>
      <c r="G177" s="32">
        <f>IF('Growth Curves'!G17&gt;0,ROUND(G42/'Growth Curves'!G17,2),0)</f>
        <v>36.79</v>
      </c>
      <c r="H177" s="32">
        <f>IF('Growth Curves'!H17&gt;0,ROUND(H42/'Growth Curves'!H17,2),0)</f>
        <v>36.59</v>
      </c>
      <c r="I177" s="32">
        <f>IF('Growth Curves'!I17&gt;0,ROUND(I42/'Growth Curves'!I17,2),0)</f>
        <v>36.15</v>
      </c>
      <c r="J177" s="32">
        <f>IF('Growth Curves'!J17&gt;0,ROUND(J42/'Growth Curves'!J17,2),0)</f>
        <v>36.56</v>
      </c>
      <c r="K177" s="32">
        <f>IF('Growth Curves'!K17&gt;0,ROUND(K42/'Growth Curves'!K17,2),0)</f>
        <v>37.12</v>
      </c>
      <c r="L177" s="32">
        <f>IF('Growth Curves'!L17&gt;0,ROUND(L42/'Growth Curves'!L17,2),0)</f>
        <v>36.72</v>
      </c>
      <c r="M177" s="32">
        <f>IF('Growth Curves'!M17&gt;0,ROUND(M42/'Growth Curves'!M17,2),0)</f>
        <v>36.48</v>
      </c>
      <c r="N177" s="32">
        <f>IF('Growth Curves'!N17&gt;0,ROUND(N42/'Growth Curves'!N17,2),0)</f>
        <v>36.55</v>
      </c>
      <c r="O177" s="32">
        <f>IF('Growth Curves'!O17&gt;0,ROUND(O42/'Growth Curves'!O17,2),0)</f>
        <v>36.49</v>
      </c>
      <c r="P177" s="32">
        <f>IF('Growth Curves'!P17&gt;0,ROUND(P42/'Growth Curves'!P17,2),0)</f>
        <v>36.31</v>
      </c>
      <c r="Q177" s="32">
        <f>IF('Growth Curves'!Q17&gt;0,ROUND(Q42/'Growth Curves'!Q17,2),0)</f>
        <v>36.45</v>
      </c>
      <c r="R177" s="32">
        <f>IF('Growth Curves'!R17&gt;0,ROUND(R42/'Growth Curves'!R17,2),0)</f>
        <v>36.6</v>
      </c>
      <c r="S177" s="32">
        <f>IF('Growth Curves'!S17&gt;0,ROUND(S42/'Growth Curves'!S17,2),0)</f>
        <v>36.51</v>
      </c>
      <c r="T177" s="32">
        <f>IF('Growth Curves'!T17&gt;0,ROUND(T42/'Growth Curves'!T17,2),0)</f>
        <v>36.59</v>
      </c>
      <c r="U177" s="32">
        <f>IF('Growth Curves'!U17&gt;0,ROUND(U42/'Growth Curves'!U17,2),0)</f>
        <v>36.44</v>
      </c>
      <c r="V177" s="32">
        <f>IF('Growth Curves'!V17&gt;0,ROUND(V42/'Growth Curves'!V17,2),0)</f>
        <v>36.51</v>
      </c>
      <c r="W177" s="32">
        <f>IF('Growth Curves'!W17&gt;0,ROUND(W42/'Growth Curves'!W17,2),0)</f>
        <v>36.47</v>
      </c>
      <c r="X177" s="32">
        <f>IF('Growth Curves'!X17&gt;0,ROUND(X42/'Growth Curves'!X17,2),0)</f>
        <v>36.41</v>
      </c>
      <c r="Y177" s="32">
        <f>IF('Growth Curves'!Y17&gt;0,ROUND(Y42/'Growth Curves'!Y17,2),0)</f>
        <v>36.54</v>
      </c>
      <c r="Z177" s="32">
        <f t="shared" si="50"/>
        <v>766.79</v>
      </c>
    </row>
    <row r="178" ht="15.75" customHeight="1">
      <c r="A178" s="7" t="s">
        <v>183</v>
      </c>
      <c r="B178" s="8">
        <f t="shared" ref="B178:Y178" si="51">B42</f>
        <v>0</v>
      </c>
      <c r="C178" s="8">
        <f t="shared" si="51"/>
        <v>0</v>
      </c>
      <c r="D178" s="8">
        <f t="shared" si="51"/>
        <v>0</v>
      </c>
      <c r="E178" s="8">
        <f t="shared" si="51"/>
        <v>527</v>
      </c>
      <c r="F178" s="8">
        <f t="shared" si="51"/>
        <v>1084</v>
      </c>
      <c r="G178" s="8">
        <f t="shared" si="51"/>
        <v>1545</v>
      </c>
      <c r="H178" s="8">
        <f t="shared" si="51"/>
        <v>2232</v>
      </c>
      <c r="I178" s="8">
        <f t="shared" si="51"/>
        <v>2820</v>
      </c>
      <c r="J178" s="8">
        <f t="shared" si="51"/>
        <v>3437</v>
      </c>
      <c r="K178" s="8">
        <f t="shared" si="51"/>
        <v>4232</v>
      </c>
      <c r="L178" s="8">
        <f t="shared" si="51"/>
        <v>4884</v>
      </c>
      <c r="M178" s="8">
        <f t="shared" si="51"/>
        <v>5472</v>
      </c>
      <c r="N178" s="8">
        <f t="shared" si="51"/>
        <v>6213</v>
      </c>
      <c r="O178" s="8">
        <f t="shared" si="51"/>
        <v>6861</v>
      </c>
      <c r="P178" s="8">
        <f t="shared" si="51"/>
        <v>7443</v>
      </c>
      <c r="Q178" s="8">
        <f t="shared" si="51"/>
        <v>8055</v>
      </c>
      <c r="R178" s="8">
        <f t="shared" si="51"/>
        <v>8602</v>
      </c>
      <c r="S178" s="8">
        <f t="shared" si="51"/>
        <v>9055</v>
      </c>
      <c r="T178" s="8">
        <f t="shared" si="51"/>
        <v>9732</v>
      </c>
      <c r="U178" s="8">
        <f t="shared" si="51"/>
        <v>10313</v>
      </c>
      <c r="V178" s="8">
        <f t="shared" si="51"/>
        <v>10880</v>
      </c>
      <c r="W178" s="8">
        <f t="shared" si="51"/>
        <v>11379</v>
      </c>
      <c r="X178" s="8">
        <f t="shared" si="51"/>
        <v>11832</v>
      </c>
      <c r="Y178" s="8">
        <f t="shared" si="51"/>
        <v>12315</v>
      </c>
      <c r="Z178" s="8">
        <f t="shared" si="50"/>
        <v>138913</v>
      </c>
    </row>
    <row r="179" ht="15.75" customHeight="1">
      <c r="A179" s="7" t="s">
        <v>184</v>
      </c>
      <c r="B179" s="25">
        <f t="shared" ref="B179:Z179" si="52">IF(B47&gt;0,B42/B47,0)</f>
        <v>0</v>
      </c>
      <c r="C179" s="25">
        <f t="shared" si="52"/>
        <v>0</v>
      </c>
      <c r="D179" s="25">
        <f t="shared" si="52"/>
        <v>0</v>
      </c>
      <c r="E179" s="25">
        <f t="shared" si="52"/>
        <v>0.1096774194</v>
      </c>
      <c r="F179" s="25">
        <f t="shared" si="52"/>
        <v>0.1290322581</v>
      </c>
      <c r="G179" s="25">
        <f t="shared" si="52"/>
        <v>0.1188278726</v>
      </c>
      <c r="H179" s="25">
        <f t="shared" si="52"/>
        <v>0.1110005968</v>
      </c>
      <c r="I179" s="25">
        <f t="shared" si="52"/>
        <v>0.102415108</v>
      </c>
      <c r="J179" s="25">
        <f t="shared" si="52"/>
        <v>0.09863115907</v>
      </c>
      <c r="K179" s="25">
        <f t="shared" si="52"/>
        <v>0.09528956138</v>
      </c>
      <c r="L179" s="25">
        <f t="shared" si="52"/>
        <v>0.09091078309</v>
      </c>
      <c r="M179" s="25">
        <f t="shared" si="52"/>
        <v>0.08623298033</v>
      </c>
      <c r="N179" s="25">
        <f t="shared" si="52"/>
        <v>0.08249024138</v>
      </c>
      <c r="O179" s="25">
        <f t="shared" si="52"/>
        <v>0.07897372147</v>
      </c>
      <c r="P179" s="25">
        <f t="shared" si="52"/>
        <v>0.0750756506</v>
      </c>
      <c r="Q179" s="25">
        <f t="shared" si="52"/>
        <v>0.06976200374</v>
      </c>
      <c r="R179" s="25">
        <f t="shared" si="52"/>
        <v>0.06517259145</v>
      </c>
      <c r="S179" s="25">
        <f t="shared" si="52"/>
        <v>0.06088500097</v>
      </c>
      <c r="T179" s="25">
        <f t="shared" si="52"/>
        <v>0.05889722036</v>
      </c>
      <c r="U179" s="25">
        <f t="shared" si="52"/>
        <v>0.05654367016</v>
      </c>
      <c r="V179" s="25">
        <f t="shared" si="52"/>
        <v>0.05345412918</v>
      </c>
      <c r="W179" s="25">
        <f t="shared" si="52"/>
        <v>0.05065889057</v>
      </c>
      <c r="X179" s="25">
        <f t="shared" si="52"/>
        <v>0.0481651096</v>
      </c>
      <c r="Y179" s="25">
        <f t="shared" si="52"/>
        <v>0.04625595336</v>
      </c>
      <c r="Z179" s="25">
        <f t="shared" si="52"/>
        <v>0.0627011983</v>
      </c>
    </row>
    <row r="180" ht="15.75" customHeight="1">
      <c r="A180" s="7" t="s">
        <v>82</v>
      </c>
      <c r="B180" s="25">
        <f t="shared" ref="B180:Z180" si="53">B67</f>
        <v>0</v>
      </c>
      <c r="C180" s="25">
        <f t="shared" si="53"/>
        <v>0</v>
      </c>
      <c r="D180" s="25">
        <f t="shared" si="53"/>
        <v>0</v>
      </c>
      <c r="E180" s="25">
        <f t="shared" si="53"/>
        <v>0.5259105099</v>
      </c>
      <c r="F180" s="25">
        <f t="shared" si="53"/>
        <v>0.5162480657</v>
      </c>
      <c r="G180" s="25">
        <f t="shared" si="53"/>
        <v>0.5083064144</v>
      </c>
      <c r="H180" s="25">
        <f t="shared" si="53"/>
        <v>0.5036801273</v>
      </c>
      <c r="I180" s="25">
        <f t="shared" si="53"/>
        <v>0.4974396223</v>
      </c>
      <c r="J180" s="25">
        <f t="shared" si="53"/>
        <v>0.5017074641</v>
      </c>
      <c r="K180" s="25">
        <f t="shared" si="53"/>
        <v>0.4938079798</v>
      </c>
      <c r="L180" s="25">
        <f t="shared" si="53"/>
        <v>0.4862907879</v>
      </c>
      <c r="M180" s="25">
        <f t="shared" si="53"/>
        <v>0.4850605144</v>
      </c>
      <c r="N180" s="25">
        <f t="shared" si="53"/>
        <v>0.4779601158</v>
      </c>
      <c r="O180" s="25">
        <f t="shared" si="53"/>
        <v>0.4710222498</v>
      </c>
      <c r="P180" s="25">
        <f t="shared" si="53"/>
        <v>0.4660580997</v>
      </c>
      <c r="Q180" s="25">
        <f t="shared" si="53"/>
        <v>0.4573979769</v>
      </c>
      <c r="R180" s="25">
        <f t="shared" si="53"/>
        <v>0.45128345</v>
      </c>
      <c r="S180" s="25">
        <f t="shared" si="53"/>
        <v>0.4474291132</v>
      </c>
      <c r="T180" s="25">
        <f t="shared" si="53"/>
        <v>0.4435810381</v>
      </c>
      <c r="U180" s="25">
        <f t="shared" si="53"/>
        <v>0.4405614343</v>
      </c>
      <c r="V180" s="25">
        <f t="shared" si="53"/>
        <v>0.4355627177</v>
      </c>
      <c r="W180" s="25">
        <f t="shared" si="53"/>
        <v>0.4313418217</v>
      </c>
      <c r="X180" s="25">
        <f t="shared" si="53"/>
        <v>0.4277503002</v>
      </c>
      <c r="Y180" s="25">
        <f t="shared" si="53"/>
        <v>0.4244617557</v>
      </c>
      <c r="Z180" s="25">
        <f t="shared" si="53"/>
        <v>0.4481835958</v>
      </c>
    </row>
    <row r="181" ht="15.75" customHeight="1">
      <c r="A181" s="7" t="s">
        <v>185</v>
      </c>
      <c r="B181" s="33">
        <f t="shared" ref="B181:Y181" si="54">IF(B175&gt;0,ROUND(B172/B175,1),99)</f>
        <v>7.2</v>
      </c>
      <c r="C181" s="33">
        <f t="shared" si="54"/>
        <v>28.3</v>
      </c>
      <c r="D181" s="33">
        <f t="shared" si="54"/>
        <v>2.6</v>
      </c>
      <c r="E181" s="33">
        <f t="shared" si="54"/>
        <v>17.2</v>
      </c>
      <c r="F181" s="33">
        <f t="shared" si="54"/>
        <v>17.6</v>
      </c>
      <c r="G181" s="33">
        <f t="shared" si="54"/>
        <v>15.8</v>
      </c>
      <c r="H181" s="33">
        <f t="shared" si="54"/>
        <v>18.1</v>
      </c>
      <c r="I181" s="33">
        <f t="shared" si="54"/>
        <v>23.7</v>
      </c>
      <c r="J181" s="33">
        <f t="shared" si="54"/>
        <v>36.3</v>
      </c>
      <c r="K181" s="33">
        <f t="shared" si="54"/>
        <v>110.8</v>
      </c>
      <c r="L181" s="33">
        <f t="shared" si="54"/>
        <v>99</v>
      </c>
      <c r="M181" s="33">
        <f t="shared" si="54"/>
        <v>99</v>
      </c>
      <c r="N181" s="33">
        <f t="shared" si="54"/>
        <v>99</v>
      </c>
      <c r="O181" s="33">
        <f t="shared" si="54"/>
        <v>81.2</v>
      </c>
      <c r="P181" s="33">
        <f t="shared" si="54"/>
        <v>99</v>
      </c>
      <c r="Q181" s="33">
        <f t="shared" si="54"/>
        <v>99</v>
      </c>
      <c r="R181" s="33">
        <f t="shared" si="54"/>
        <v>99</v>
      </c>
      <c r="S181" s="33">
        <f t="shared" si="54"/>
        <v>99</v>
      </c>
      <c r="T181" s="33">
        <f t="shared" si="54"/>
        <v>99</v>
      </c>
      <c r="U181" s="33">
        <f t="shared" si="54"/>
        <v>99</v>
      </c>
      <c r="V181" s="33">
        <f t="shared" si="54"/>
        <v>99</v>
      </c>
      <c r="W181" s="33">
        <f t="shared" si="54"/>
        <v>99</v>
      </c>
      <c r="X181" s="33">
        <f t="shared" si="54"/>
        <v>99</v>
      </c>
      <c r="Y181" s="33">
        <f t="shared" si="54"/>
        <v>99</v>
      </c>
      <c r="Z181" s="33">
        <f>SUM(B181:Y181)</f>
        <v>1645.8</v>
      </c>
    </row>
    <row r="182" ht="15.75" customHeight="1">
      <c r="A182" s="11"/>
    </row>
    <row r="183" ht="15.75" customHeight="1">
      <c r="A183" s="5" t="s">
        <v>186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7" t="s">
        <v>187</v>
      </c>
      <c r="B184" s="8">
        <f t="shared" ref="B184:Y184" si="55">IF(B136&gt;0,1,0)</f>
        <v>0</v>
      </c>
      <c r="C184" s="8">
        <f t="shared" si="55"/>
        <v>0</v>
      </c>
      <c r="D184" s="8">
        <f t="shared" si="55"/>
        <v>0</v>
      </c>
      <c r="E184" s="8">
        <f t="shared" si="55"/>
        <v>0</v>
      </c>
      <c r="F184" s="8">
        <f t="shared" si="55"/>
        <v>0</v>
      </c>
      <c r="G184" s="8">
        <f t="shared" si="55"/>
        <v>0</v>
      </c>
      <c r="H184" s="8">
        <f t="shared" si="55"/>
        <v>0</v>
      </c>
      <c r="I184" s="8">
        <f t="shared" si="55"/>
        <v>0</v>
      </c>
      <c r="J184" s="8">
        <f t="shared" si="55"/>
        <v>0</v>
      </c>
      <c r="K184" s="8">
        <f t="shared" si="55"/>
        <v>0</v>
      </c>
      <c r="L184" s="8">
        <f t="shared" si="55"/>
        <v>1</v>
      </c>
      <c r="M184" s="8">
        <f t="shared" si="55"/>
        <v>1</v>
      </c>
      <c r="N184" s="8">
        <f t="shared" si="55"/>
        <v>1</v>
      </c>
      <c r="O184" s="8">
        <f t="shared" si="55"/>
        <v>1</v>
      </c>
      <c r="P184" s="8">
        <f t="shared" si="55"/>
        <v>1</v>
      </c>
      <c r="Q184" s="8">
        <f t="shared" si="55"/>
        <v>1</v>
      </c>
      <c r="R184" s="8">
        <f t="shared" si="55"/>
        <v>1</v>
      </c>
      <c r="S184" s="8">
        <f t="shared" si="55"/>
        <v>1</v>
      </c>
      <c r="T184" s="8">
        <f t="shared" si="55"/>
        <v>1</v>
      </c>
      <c r="U184" s="8">
        <f t="shared" si="55"/>
        <v>1</v>
      </c>
      <c r="V184" s="8">
        <f t="shared" si="55"/>
        <v>1</v>
      </c>
      <c r="W184" s="8">
        <f t="shared" si="55"/>
        <v>1</v>
      </c>
      <c r="X184" s="8">
        <f t="shared" si="55"/>
        <v>1</v>
      </c>
      <c r="Y184" s="8">
        <f t="shared" si="55"/>
        <v>1</v>
      </c>
      <c r="Z184" s="8">
        <f t="shared" ref="Z184:Z185" si="57">MATCH(1,B184:Y184,0)</f>
        <v>11</v>
      </c>
    </row>
    <row r="185" ht="15.75" customHeight="1">
      <c r="A185" s="7" t="s">
        <v>188</v>
      </c>
      <c r="B185" s="8">
        <f t="shared" ref="B185:Y185" si="56">IF(B171&gt;0,1,0)</f>
        <v>0</v>
      </c>
      <c r="C185" s="8">
        <f t="shared" si="56"/>
        <v>0</v>
      </c>
      <c r="D185" s="8">
        <f t="shared" si="56"/>
        <v>0</v>
      </c>
      <c r="E185" s="8">
        <f t="shared" si="56"/>
        <v>0</v>
      </c>
      <c r="F185" s="8">
        <f t="shared" si="56"/>
        <v>0</v>
      </c>
      <c r="G185" s="8">
        <f t="shared" si="56"/>
        <v>0</v>
      </c>
      <c r="H185" s="8">
        <f t="shared" si="56"/>
        <v>0</v>
      </c>
      <c r="I185" s="8">
        <f t="shared" si="56"/>
        <v>0</v>
      </c>
      <c r="J185" s="8">
        <f t="shared" si="56"/>
        <v>0</v>
      </c>
      <c r="K185" s="8">
        <f t="shared" si="56"/>
        <v>0</v>
      </c>
      <c r="L185" s="8">
        <f t="shared" si="56"/>
        <v>1</v>
      </c>
      <c r="M185" s="8">
        <f t="shared" si="56"/>
        <v>1</v>
      </c>
      <c r="N185" s="8">
        <f t="shared" si="56"/>
        <v>1</v>
      </c>
      <c r="O185" s="8">
        <f t="shared" si="56"/>
        <v>0</v>
      </c>
      <c r="P185" s="8">
        <f t="shared" si="56"/>
        <v>1</v>
      </c>
      <c r="Q185" s="8">
        <f t="shared" si="56"/>
        <v>1</v>
      </c>
      <c r="R185" s="8">
        <f t="shared" si="56"/>
        <v>1</v>
      </c>
      <c r="S185" s="8">
        <f t="shared" si="56"/>
        <v>1</v>
      </c>
      <c r="T185" s="8">
        <f t="shared" si="56"/>
        <v>1</v>
      </c>
      <c r="U185" s="8">
        <f t="shared" si="56"/>
        <v>1</v>
      </c>
      <c r="V185" s="8">
        <f t="shared" si="56"/>
        <v>1</v>
      </c>
      <c r="W185" s="8">
        <f t="shared" si="56"/>
        <v>1</v>
      </c>
      <c r="X185" s="8">
        <f t="shared" si="56"/>
        <v>1</v>
      </c>
      <c r="Y185" s="8">
        <f t="shared" si="56"/>
        <v>1</v>
      </c>
      <c r="Z185" s="8">
        <f t="shared" si="57"/>
        <v>11</v>
      </c>
    </row>
    <row r="186" ht="15.75" customHeight="1">
      <c r="A186" s="7" t="s">
        <v>189</v>
      </c>
      <c r="B186" s="8">
        <f t="shared" ref="B186:Y186" si="58">IF(B172&gt;500000,1,0)</f>
        <v>0</v>
      </c>
      <c r="C186" s="8">
        <f t="shared" si="58"/>
        <v>0</v>
      </c>
      <c r="D186" s="8">
        <f t="shared" si="58"/>
        <v>0</v>
      </c>
      <c r="E186" s="8">
        <f t="shared" si="58"/>
        <v>0</v>
      </c>
      <c r="F186" s="8">
        <f t="shared" si="58"/>
        <v>0</v>
      </c>
      <c r="G186" s="8">
        <f t="shared" si="58"/>
        <v>0</v>
      </c>
      <c r="H186" s="8">
        <f t="shared" si="58"/>
        <v>0</v>
      </c>
      <c r="I186" s="8">
        <f t="shared" si="58"/>
        <v>0</v>
      </c>
      <c r="J186" s="8">
        <f t="shared" si="58"/>
        <v>0</v>
      </c>
      <c r="K186" s="8">
        <f t="shared" si="58"/>
        <v>0</v>
      </c>
      <c r="L186" s="8">
        <f t="shared" si="58"/>
        <v>0</v>
      </c>
      <c r="M186" s="8">
        <f t="shared" si="58"/>
        <v>0</v>
      </c>
      <c r="N186" s="8">
        <f t="shared" si="58"/>
        <v>0</v>
      </c>
      <c r="O186" s="8">
        <f t="shared" si="58"/>
        <v>0</v>
      </c>
      <c r="P186" s="8">
        <f t="shared" si="58"/>
        <v>0</v>
      </c>
      <c r="Q186" s="8">
        <f t="shared" si="58"/>
        <v>0</v>
      </c>
      <c r="R186" s="8">
        <f t="shared" si="58"/>
        <v>0</v>
      </c>
      <c r="S186" s="8">
        <f t="shared" si="58"/>
        <v>0</v>
      </c>
      <c r="T186" s="8">
        <f t="shared" si="58"/>
        <v>0</v>
      </c>
      <c r="U186" s="8">
        <f t="shared" si="58"/>
        <v>0</v>
      </c>
      <c r="V186" s="8">
        <f t="shared" si="58"/>
        <v>0</v>
      </c>
      <c r="W186" s="8">
        <f t="shared" si="58"/>
        <v>1</v>
      </c>
      <c r="X186" s="8">
        <f t="shared" si="58"/>
        <v>1</v>
      </c>
      <c r="Y186" s="8">
        <f t="shared" si="58"/>
        <v>1</v>
      </c>
      <c r="Z186" s="8">
        <f>IFERROR(MATCH(1,B186:Y186,0),"Never")</f>
        <v>22</v>
      </c>
    </row>
    <row r="187" ht="15.75" customHeight="1">
      <c r="A187" s="9" t="s">
        <v>190</v>
      </c>
      <c r="B187" s="34" t="str">
        <f t="shared" ref="B187:B188" si="59">IFERROR("M"&amp;MATCH(1,B184:Y184,0),"Never")</f>
        <v>M11</v>
      </c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5.75" customHeight="1">
      <c r="A188" s="9" t="s">
        <v>191</v>
      </c>
      <c r="B188" s="34" t="str">
        <f t="shared" si="59"/>
        <v>M11</v>
      </c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5.75" customHeight="1">
      <c r="A189" s="11"/>
    </row>
    <row r="190" ht="15.75" customHeight="1">
      <c r="A190" s="11"/>
    </row>
    <row r="191" ht="15.75" customHeight="1">
      <c r="A191" s="11"/>
    </row>
    <row r="192" ht="15.75" customHeight="1">
      <c r="A192" s="11"/>
    </row>
    <row r="193" ht="15.75" customHeight="1">
      <c r="A193" s="11"/>
    </row>
    <row r="194" ht="15.75" customHeight="1">
      <c r="A194" s="11"/>
    </row>
    <row r="195" ht="15.75" customHeight="1">
      <c r="A195" s="11"/>
    </row>
    <row r="196" ht="15.75" customHeight="1">
      <c r="A196" s="11"/>
    </row>
    <row r="197" ht="15.75" customHeight="1">
      <c r="A197" s="11"/>
    </row>
    <row r="198" ht="15.75" customHeight="1">
      <c r="A198" s="11"/>
    </row>
    <row r="199" ht="15.75" customHeight="1">
      <c r="A199" s="11"/>
    </row>
    <row r="200" ht="15.75" customHeight="1">
      <c r="A200" s="11"/>
    </row>
    <row r="201" ht="15.75" customHeight="1">
      <c r="A201" s="11"/>
    </row>
    <row r="202" ht="15.75" customHeight="1">
      <c r="A202" s="11"/>
    </row>
    <row r="203" ht="15.75" customHeight="1">
      <c r="A203" s="11"/>
    </row>
    <row r="204" ht="15.75" customHeight="1">
      <c r="A204" s="11"/>
    </row>
    <row r="205" ht="15.75" customHeight="1">
      <c r="A205" s="11"/>
    </row>
    <row r="206" ht="15.75" customHeight="1">
      <c r="A206" s="11"/>
    </row>
    <row r="207" ht="15.75" customHeight="1">
      <c r="A207" s="11"/>
    </row>
    <row r="208" ht="15.75" customHeight="1">
      <c r="A208" s="11"/>
    </row>
    <row r="209" ht="15.75" customHeight="1">
      <c r="A209" s="11"/>
    </row>
    <row r="210" ht="15.75" customHeight="1">
      <c r="A210" s="11"/>
    </row>
    <row r="211" ht="15.75" customHeight="1">
      <c r="A211" s="11"/>
    </row>
    <row r="212" ht="15.75" customHeight="1">
      <c r="A212" s="11"/>
    </row>
    <row r="213" ht="15.75" customHeight="1">
      <c r="A213" s="11"/>
    </row>
    <row r="214" ht="15.75" customHeight="1">
      <c r="A214" s="11"/>
    </row>
    <row r="215" ht="15.75" customHeight="1">
      <c r="A215" s="11"/>
    </row>
    <row r="216" ht="15.75" customHeight="1">
      <c r="A216" s="11"/>
    </row>
    <row r="217" ht="15.75" customHeight="1">
      <c r="A217" s="11"/>
    </row>
    <row r="218" ht="15.75" customHeight="1">
      <c r="A218" s="11"/>
    </row>
    <row r="219" ht="15.75" customHeight="1">
      <c r="A219" s="11"/>
    </row>
    <row r="220" ht="15.75" customHeight="1">
      <c r="A220" s="11"/>
    </row>
    <row r="221" ht="15.75" customHeight="1">
      <c r="A221" s="11"/>
    </row>
    <row r="222" ht="15.75" customHeight="1">
      <c r="A222" s="11"/>
    </row>
    <row r="223" ht="15.75" customHeight="1">
      <c r="A223" s="11"/>
    </row>
    <row r="224" ht="15.75" customHeight="1">
      <c r="A224" s="11"/>
    </row>
    <row r="225" ht="15.75" customHeight="1">
      <c r="A225" s="11"/>
    </row>
    <row r="226" ht="15.75" customHeight="1">
      <c r="A226" s="11"/>
    </row>
    <row r="227" ht="15.75" customHeight="1">
      <c r="A227" s="11"/>
    </row>
    <row r="228" ht="15.75" customHeight="1">
      <c r="A228" s="11"/>
    </row>
    <row r="229" ht="15.75" customHeight="1">
      <c r="A229" s="11"/>
    </row>
    <row r="230" ht="15.75" customHeight="1">
      <c r="A230" s="11"/>
    </row>
    <row r="231" ht="15.75" customHeight="1">
      <c r="A231" s="11"/>
    </row>
    <row r="232" ht="15.75" customHeight="1">
      <c r="A232" s="11"/>
    </row>
    <row r="233" ht="15.75" customHeight="1">
      <c r="A233" s="11"/>
    </row>
    <row r="234" ht="15.75" customHeight="1">
      <c r="A234" s="11"/>
    </row>
    <row r="235" ht="15.75" customHeight="1">
      <c r="A235" s="11"/>
    </row>
    <row r="236" ht="15.75" customHeight="1">
      <c r="A236" s="11"/>
    </row>
    <row r="237" ht="15.75" customHeight="1">
      <c r="A237" s="11"/>
    </row>
    <row r="238" ht="15.75" customHeight="1">
      <c r="A238" s="11"/>
    </row>
    <row r="239" ht="15.75" customHeight="1">
      <c r="A239" s="11"/>
    </row>
    <row r="240" ht="15.75" customHeight="1">
      <c r="A240" s="11"/>
    </row>
    <row r="241" ht="15.75" customHeight="1">
      <c r="A241" s="11"/>
    </row>
    <row r="242" ht="15.75" customHeight="1">
      <c r="A242" s="11"/>
    </row>
    <row r="243" ht="15.75" customHeight="1">
      <c r="A243" s="11"/>
    </row>
    <row r="244" ht="15.75" customHeight="1">
      <c r="A244" s="11"/>
    </row>
    <row r="245" ht="15.75" customHeight="1">
      <c r="A245" s="11"/>
    </row>
    <row r="246" ht="15.75" customHeight="1">
      <c r="A246" s="11"/>
    </row>
    <row r="247" ht="15.75" customHeight="1">
      <c r="A247" s="11"/>
    </row>
    <row r="248" ht="15.75" customHeight="1">
      <c r="A248" s="11"/>
    </row>
    <row r="249" ht="15.75" customHeight="1">
      <c r="A249" s="11"/>
    </row>
    <row r="250" ht="15.75" customHeight="1">
      <c r="A250" s="11"/>
    </row>
    <row r="251" ht="15.75" customHeight="1">
      <c r="A251" s="11"/>
    </row>
    <row r="252" ht="15.75" customHeight="1">
      <c r="A252" s="11"/>
    </row>
    <row r="253" ht="15.75" customHeight="1">
      <c r="A253" s="11"/>
    </row>
    <row r="254" ht="15.75" customHeight="1">
      <c r="A254" s="11"/>
    </row>
    <row r="255" ht="15.75" customHeight="1">
      <c r="A255" s="11"/>
    </row>
    <row r="256" ht="15.75" customHeight="1">
      <c r="A256" s="11"/>
    </row>
    <row r="257" ht="15.75" customHeight="1">
      <c r="A257" s="11"/>
    </row>
    <row r="258" ht="15.75" customHeight="1">
      <c r="A258" s="11"/>
    </row>
    <row r="259" ht="15.75" customHeight="1">
      <c r="A259" s="11"/>
    </row>
    <row r="260" ht="15.75" customHeight="1">
      <c r="A260" s="11"/>
    </row>
    <row r="261" ht="15.75" customHeight="1">
      <c r="A261" s="11"/>
    </row>
    <row r="262" ht="15.75" customHeight="1">
      <c r="A262" s="11"/>
    </row>
    <row r="263" ht="15.75" customHeight="1">
      <c r="A263" s="11"/>
    </row>
    <row r="264" ht="15.75" customHeight="1">
      <c r="A264" s="11"/>
    </row>
    <row r="265" ht="15.75" customHeight="1">
      <c r="A265" s="11"/>
    </row>
    <row r="266" ht="15.75" customHeight="1">
      <c r="A266" s="11"/>
    </row>
    <row r="267" ht="15.75" customHeight="1">
      <c r="A267" s="11"/>
    </row>
    <row r="268" ht="15.75" customHeight="1">
      <c r="A268" s="11"/>
    </row>
    <row r="269" ht="15.75" customHeight="1">
      <c r="A269" s="11"/>
    </row>
    <row r="270" ht="15.75" customHeight="1">
      <c r="A270" s="11"/>
    </row>
    <row r="271" ht="15.75" customHeight="1">
      <c r="A271" s="11"/>
    </row>
    <row r="272" ht="15.75" customHeight="1">
      <c r="A272" s="11"/>
    </row>
    <row r="273" ht="15.75" customHeight="1">
      <c r="A273" s="11"/>
    </row>
    <row r="274" ht="15.75" customHeight="1">
      <c r="A274" s="11"/>
    </row>
    <row r="275" ht="15.75" customHeight="1">
      <c r="A275" s="11"/>
    </row>
    <row r="276" ht="15.75" customHeight="1">
      <c r="A276" s="11"/>
    </row>
    <row r="277" ht="15.75" customHeight="1">
      <c r="A277" s="11"/>
    </row>
    <row r="278" ht="15.75" customHeight="1">
      <c r="A278" s="11"/>
    </row>
    <row r="279" ht="15.75" customHeight="1">
      <c r="A279" s="11"/>
    </row>
    <row r="280" ht="15.75" customHeight="1">
      <c r="A280" s="11"/>
    </row>
    <row r="281" ht="15.75" customHeight="1">
      <c r="A281" s="11"/>
    </row>
    <row r="282" ht="15.75" customHeight="1">
      <c r="A282" s="11"/>
    </row>
    <row r="283" ht="15.75" customHeight="1">
      <c r="A283" s="11"/>
    </row>
    <row r="284" ht="15.75" customHeight="1">
      <c r="A284" s="11"/>
    </row>
    <row r="285" ht="15.75" customHeight="1">
      <c r="A285" s="11"/>
    </row>
    <row r="286" ht="15.75" customHeight="1">
      <c r="A286" s="11"/>
    </row>
    <row r="287" ht="15.75" customHeight="1">
      <c r="A287" s="11"/>
    </row>
    <row r="288" ht="15.75" customHeight="1">
      <c r="A288" s="11"/>
    </row>
    <row r="289" ht="15.75" customHeight="1">
      <c r="A289" s="11"/>
    </row>
    <row r="290" ht="15.75" customHeight="1">
      <c r="A290" s="11"/>
    </row>
    <row r="291" ht="15.75" customHeight="1">
      <c r="A291" s="11"/>
    </row>
    <row r="292" ht="15.75" customHeight="1">
      <c r="A292" s="11"/>
    </row>
    <row r="293" ht="15.75" customHeight="1">
      <c r="A293" s="11"/>
    </row>
    <row r="294" ht="15.75" customHeight="1">
      <c r="A294" s="11"/>
    </row>
    <row r="295" ht="15.75" customHeight="1">
      <c r="A295" s="11"/>
    </row>
    <row r="296" ht="15.75" customHeight="1">
      <c r="A296" s="11"/>
    </row>
    <row r="297" ht="15.75" customHeight="1">
      <c r="A297" s="11"/>
    </row>
    <row r="298" ht="15.75" customHeight="1">
      <c r="A298" s="11"/>
    </row>
    <row r="299" ht="15.75" customHeight="1">
      <c r="A299" s="11"/>
    </row>
    <row r="300" ht="15.75" customHeight="1">
      <c r="A300" s="11"/>
    </row>
    <row r="301" ht="15.75" customHeight="1">
      <c r="A301" s="11"/>
    </row>
    <row r="302" ht="15.75" customHeight="1">
      <c r="A302" s="11"/>
    </row>
    <row r="303" ht="15.75" customHeight="1">
      <c r="A303" s="11"/>
    </row>
    <row r="304" ht="15.75" customHeight="1">
      <c r="A304" s="11"/>
    </row>
    <row r="305" ht="15.75" customHeight="1">
      <c r="A305" s="11"/>
    </row>
    <row r="306" ht="15.75" customHeight="1">
      <c r="A306" s="11"/>
    </row>
    <row r="307" ht="15.75" customHeight="1">
      <c r="A307" s="11"/>
    </row>
    <row r="308" ht="15.75" customHeight="1">
      <c r="A308" s="11"/>
    </row>
    <row r="309" ht="15.75" customHeight="1">
      <c r="A309" s="11"/>
    </row>
    <row r="310" ht="15.75" customHeight="1">
      <c r="A310" s="11"/>
    </row>
    <row r="311" ht="15.75" customHeight="1">
      <c r="A311" s="11"/>
    </row>
    <row r="312" ht="15.75" customHeight="1">
      <c r="A312" s="11"/>
    </row>
    <row r="313" ht="15.75" customHeight="1">
      <c r="A313" s="11"/>
    </row>
    <row r="314" ht="15.75" customHeight="1">
      <c r="A314" s="11"/>
    </row>
    <row r="315" ht="15.75" customHeight="1">
      <c r="A315" s="11"/>
    </row>
    <row r="316" ht="15.75" customHeight="1">
      <c r="A316" s="11"/>
    </row>
    <row r="317" ht="15.75" customHeight="1">
      <c r="A317" s="11"/>
    </row>
    <row r="318" ht="15.75" customHeight="1">
      <c r="A318" s="11"/>
    </row>
    <row r="319" ht="15.75" customHeight="1">
      <c r="A319" s="11"/>
    </row>
    <row r="320" ht="15.75" customHeight="1">
      <c r="A320" s="11"/>
    </row>
    <row r="321" ht="15.75" customHeight="1">
      <c r="A321" s="11"/>
    </row>
    <row r="322" ht="15.75" customHeight="1">
      <c r="A322" s="11"/>
    </row>
    <row r="323" ht="15.75" customHeight="1">
      <c r="A323" s="11"/>
    </row>
    <row r="324" ht="15.75" customHeight="1">
      <c r="A324" s="11"/>
    </row>
    <row r="325" ht="15.75" customHeight="1">
      <c r="A325" s="11"/>
    </row>
    <row r="326" ht="15.75" customHeight="1">
      <c r="A326" s="11"/>
    </row>
    <row r="327" ht="15.75" customHeight="1">
      <c r="A327" s="11"/>
    </row>
    <row r="328" ht="15.75" customHeight="1">
      <c r="A328" s="11"/>
    </row>
    <row r="329" ht="15.75" customHeight="1">
      <c r="A329" s="11"/>
    </row>
    <row r="330" ht="15.75" customHeight="1">
      <c r="A330" s="11"/>
    </row>
    <row r="331" ht="15.75" customHeight="1">
      <c r="A331" s="11"/>
    </row>
    <row r="332" ht="15.75" customHeight="1">
      <c r="A332" s="11"/>
    </row>
    <row r="333" ht="15.75" customHeight="1">
      <c r="A333" s="11"/>
    </row>
    <row r="334" ht="15.75" customHeight="1">
      <c r="A334" s="11"/>
    </row>
    <row r="335" ht="15.75" customHeight="1">
      <c r="A335" s="11"/>
    </row>
    <row r="336" ht="15.75" customHeight="1">
      <c r="A336" s="11"/>
    </row>
    <row r="337" ht="15.75" customHeight="1">
      <c r="A337" s="11"/>
    </row>
    <row r="338" ht="15.75" customHeight="1">
      <c r="A338" s="11"/>
    </row>
    <row r="339" ht="15.75" customHeight="1">
      <c r="A339" s="11"/>
    </row>
    <row r="340" ht="15.75" customHeight="1">
      <c r="A340" s="11"/>
    </row>
    <row r="341" ht="15.75" customHeight="1">
      <c r="A341" s="11"/>
    </row>
    <row r="342" ht="15.75" customHeight="1">
      <c r="A342" s="11"/>
    </row>
    <row r="343" ht="15.75" customHeight="1">
      <c r="A343" s="11"/>
    </row>
    <row r="344" ht="15.75" customHeight="1">
      <c r="A344" s="11"/>
    </row>
    <row r="345" ht="15.75" customHeight="1">
      <c r="A345" s="11"/>
    </row>
    <row r="346" ht="15.75" customHeight="1">
      <c r="A346" s="11"/>
    </row>
    <row r="347" ht="15.75" customHeight="1">
      <c r="A347" s="11"/>
    </row>
    <row r="348" ht="15.75" customHeight="1">
      <c r="A348" s="11"/>
    </row>
    <row r="349" ht="15.75" customHeight="1">
      <c r="A349" s="11"/>
    </row>
    <row r="350" ht="15.75" customHeight="1">
      <c r="A350" s="11"/>
    </row>
    <row r="351" ht="15.75" customHeight="1">
      <c r="A351" s="11"/>
    </row>
    <row r="352" ht="15.75" customHeight="1">
      <c r="A352" s="11"/>
    </row>
    <row r="353" ht="15.75" customHeight="1">
      <c r="A353" s="11"/>
    </row>
    <row r="354" ht="15.75" customHeight="1">
      <c r="A354" s="11"/>
    </row>
    <row r="355" ht="15.75" customHeight="1">
      <c r="A355" s="11"/>
    </row>
    <row r="356" ht="15.75" customHeight="1">
      <c r="A356" s="11"/>
    </row>
    <row r="357" ht="15.75" customHeight="1">
      <c r="A357" s="11"/>
    </row>
    <row r="358" ht="15.75" customHeight="1">
      <c r="A358" s="11"/>
    </row>
    <row r="359" ht="15.75" customHeight="1">
      <c r="A359" s="11"/>
    </row>
    <row r="360" ht="15.75" customHeight="1">
      <c r="A360" s="11"/>
    </row>
    <row r="361" ht="15.75" customHeight="1">
      <c r="A361" s="11"/>
    </row>
    <row r="362" ht="15.75" customHeight="1">
      <c r="A362" s="11"/>
    </row>
    <row r="363" ht="15.75" customHeight="1">
      <c r="A363" s="11"/>
    </row>
    <row r="364" ht="15.75" customHeight="1">
      <c r="A364" s="11"/>
    </row>
    <row r="365" ht="15.75" customHeight="1">
      <c r="A365" s="11"/>
    </row>
    <row r="366" ht="15.75" customHeight="1">
      <c r="A366" s="11"/>
    </row>
    <row r="367" ht="15.75" customHeight="1">
      <c r="A367" s="11"/>
    </row>
    <row r="368" ht="15.75" customHeight="1">
      <c r="A368" s="11"/>
    </row>
    <row r="369" ht="15.75" customHeight="1">
      <c r="A369" s="11"/>
    </row>
    <row r="370" ht="15.75" customHeight="1">
      <c r="A370" s="11"/>
    </row>
    <row r="371" ht="15.75" customHeight="1">
      <c r="A371" s="11"/>
    </row>
    <row r="372" ht="15.75" customHeight="1">
      <c r="A372" s="11"/>
    </row>
    <row r="373" ht="15.75" customHeight="1">
      <c r="A373" s="11"/>
    </row>
    <row r="374" ht="15.75" customHeight="1">
      <c r="A374" s="11"/>
    </row>
    <row r="375" ht="15.75" customHeight="1">
      <c r="A375" s="11"/>
    </row>
    <row r="376" ht="15.75" customHeight="1">
      <c r="A376" s="11"/>
    </row>
    <row r="377" ht="15.75" customHeight="1">
      <c r="A377" s="11"/>
    </row>
    <row r="378" ht="15.75" customHeight="1">
      <c r="A378" s="11"/>
    </row>
    <row r="379" ht="15.75" customHeight="1">
      <c r="A379" s="11"/>
    </row>
    <row r="380" ht="15.75" customHeight="1">
      <c r="A380" s="11"/>
    </row>
    <row r="381" ht="15.75" customHeight="1">
      <c r="A381" s="11"/>
    </row>
    <row r="382" ht="15.75" customHeight="1">
      <c r="A382" s="11"/>
    </row>
    <row r="383" ht="15.75" customHeight="1">
      <c r="A383" s="11"/>
    </row>
    <row r="384" ht="15.75" customHeight="1">
      <c r="A384" s="11"/>
    </row>
    <row r="385" ht="15.75" customHeight="1">
      <c r="A385" s="11"/>
    </row>
    <row r="386" ht="15.75" customHeight="1">
      <c r="A386" s="11"/>
    </row>
    <row r="387" ht="15.75" customHeight="1">
      <c r="A387" s="11"/>
    </row>
    <row r="388" ht="15.75" customHeight="1">
      <c r="A388" s="11"/>
    </row>
    <row r="389" ht="15.75" customHeight="1">
      <c r="A389" s="11"/>
    </row>
    <row r="390" ht="15.75" customHeight="1">
      <c r="A390" s="11"/>
    </row>
    <row r="391" ht="15.75" customHeight="1">
      <c r="A391" s="11"/>
    </row>
    <row r="392" ht="15.75" customHeight="1">
      <c r="A392" s="11"/>
    </row>
    <row r="393" ht="15.75" customHeight="1">
      <c r="A393" s="11"/>
    </row>
    <row r="394" ht="15.75" customHeight="1">
      <c r="A394" s="11"/>
    </row>
    <row r="395" ht="15.75" customHeight="1">
      <c r="A395" s="11"/>
    </row>
    <row r="396" ht="15.75" customHeight="1">
      <c r="A396" s="11"/>
    </row>
    <row r="397" ht="15.75" customHeight="1">
      <c r="A397" s="11"/>
    </row>
    <row r="398" ht="15.75" customHeight="1">
      <c r="A398" s="11"/>
    </row>
    <row r="399" ht="15.75" customHeight="1">
      <c r="A399" s="11"/>
    </row>
    <row r="400" ht="15.75" customHeight="1">
      <c r="A400" s="11"/>
    </row>
    <row r="401" ht="15.75" customHeight="1">
      <c r="A401" s="11"/>
    </row>
    <row r="402" ht="15.75" customHeight="1">
      <c r="A402" s="11"/>
    </row>
    <row r="403" ht="15.75" customHeight="1">
      <c r="A403" s="11"/>
    </row>
    <row r="404" ht="15.75" customHeight="1">
      <c r="A404" s="11"/>
    </row>
    <row r="405" ht="15.75" customHeight="1">
      <c r="A405" s="11"/>
    </row>
    <row r="406" ht="15.75" customHeight="1">
      <c r="A406" s="11"/>
    </row>
    <row r="407" ht="15.75" customHeight="1">
      <c r="A407" s="11"/>
    </row>
    <row r="408" ht="15.75" customHeight="1">
      <c r="A408" s="11"/>
    </row>
    <row r="409" ht="15.75" customHeight="1">
      <c r="A409" s="11"/>
    </row>
    <row r="410" ht="15.75" customHeight="1">
      <c r="A410" s="11"/>
    </row>
    <row r="411" ht="15.75" customHeight="1">
      <c r="A411" s="11"/>
    </row>
    <row r="412" ht="15.75" customHeight="1">
      <c r="A412" s="11"/>
    </row>
    <row r="413" ht="15.75" customHeight="1">
      <c r="A413" s="11"/>
    </row>
    <row r="414" ht="15.75" customHeight="1">
      <c r="A414" s="11"/>
    </row>
    <row r="415" ht="15.75" customHeight="1">
      <c r="A415" s="11"/>
    </row>
    <row r="416" ht="15.75" customHeight="1">
      <c r="A416" s="11"/>
    </row>
    <row r="417" ht="15.75" customHeight="1">
      <c r="A417" s="11"/>
    </row>
    <row r="418" ht="15.75" customHeight="1">
      <c r="A418" s="11"/>
    </row>
    <row r="419" ht="15.75" customHeight="1">
      <c r="A419" s="11"/>
    </row>
    <row r="420" ht="15.75" customHeight="1">
      <c r="A420" s="11"/>
    </row>
    <row r="421" ht="15.75" customHeight="1">
      <c r="A421" s="11"/>
    </row>
    <row r="422" ht="15.75" customHeight="1">
      <c r="A422" s="11"/>
    </row>
    <row r="423" ht="15.75" customHeight="1">
      <c r="A423" s="11"/>
    </row>
    <row r="424" ht="15.75" customHeight="1">
      <c r="A424" s="11"/>
    </row>
    <row r="425" ht="15.75" customHeight="1">
      <c r="A425" s="11"/>
    </row>
    <row r="426" ht="15.75" customHeight="1">
      <c r="A426" s="11"/>
    </row>
    <row r="427" ht="15.75" customHeight="1">
      <c r="A427" s="11"/>
    </row>
    <row r="428" ht="15.75" customHeight="1">
      <c r="A428" s="11"/>
    </row>
    <row r="429" ht="15.75" customHeight="1">
      <c r="A429" s="11"/>
    </row>
    <row r="430" ht="15.75" customHeight="1">
      <c r="A430" s="11"/>
    </row>
    <row r="431" ht="15.75" customHeight="1">
      <c r="A431" s="11"/>
    </row>
    <row r="432" ht="15.75" customHeight="1">
      <c r="A432" s="11"/>
    </row>
    <row r="433" ht="15.75" customHeight="1">
      <c r="A433" s="11"/>
    </row>
    <row r="434" ht="15.75" customHeight="1">
      <c r="A434" s="11"/>
    </row>
    <row r="435" ht="15.75" customHeight="1">
      <c r="A435" s="11"/>
    </row>
    <row r="436" ht="15.75" customHeight="1">
      <c r="A436" s="11"/>
    </row>
    <row r="437" ht="15.75" customHeight="1">
      <c r="A437" s="11"/>
    </row>
    <row r="438" ht="15.75" customHeight="1">
      <c r="A438" s="11"/>
    </row>
    <row r="439" ht="15.75" customHeight="1">
      <c r="A439" s="11"/>
    </row>
    <row r="440" ht="15.75" customHeight="1">
      <c r="A440" s="11"/>
    </row>
    <row r="441" ht="15.75" customHeight="1">
      <c r="A441" s="11"/>
    </row>
    <row r="442" ht="15.75" customHeight="1">
      <c r="A442" s="11"/>
    </row>
    <row r="443" ht="15.75" customHeight="1">
      <c r="A443" s="11"/>
    </row>
    <row r="444" ht="15.75" customHeight="1">
      <c r="A444" s="11"/>
    </row>
    <row r="445" ht="15.75" customHeight="1">
      <c r="A445" s="11"/>
    </row>
    <row r="446" ht="15.75" customHeight="1">
      <c r="A446" s="11"/>
    </row>
    <row r="447" ht="15.75" customHeight="1">
      <c r="A447" s="11"/>
    </row>
    <row r="448" ht="15.75" customHeight="1">
      <c r="A448" s="11"/>
    </row>
    <row r="449" ht="15.75" customHeight="1">
      <c r="A449" s="11"/>
    </row>
    <row r="450" ht="15.75" customHeight="1">
      <c r="A450" s="11"/>
    </row>
    <row r="451" ht="15.75" customHeight="1">
      <c r="A451" s="11"/>
    </row>
    <row r="452" ht="15.75" customHeight="1">
      <c r="A452" s="11"/>
    </row>
    <row r="453" ht="15.75" customHeight="1">
      <c r="A453" s="11"/>
    </row>
    <row r="454" ht="15.75" customHeight="1">
      <c r="A454" s="11"/>
    </row>
    <row r="455" ht="15.75" customHeight="1">
      <c r="A455" s="11"/>
    </row>
    <row r="456" ht="15.75" customHeight="1">
      <c r="A456" s="11"/>
    </row>
    <row r="457" ht="15.75" customHeight="1">
      <c r="A457" s="11"/>
    </row>
    <row r="458" ht="15.75" customHeight="1">
      <c r="A458" s="11"/>
    </row>
    <row r="459" ht="15.75" customHeight="1">
      <c r="A459" s="11"/>
    </row>
    <row r="460" ht="15.75" customHeight="1">
      <c r="A460" s="11"/>
    </row>
    <row r="461" ht="15.75" customHeight="1">
      <c r="A461" s="11"/>
    </row>
    <row r="462" ht="15.75" customHeight="1">
      <c r="A462" s="11"/>
    </row>
    <row r="463" ht="15.75" customHeight="1">
      <c r="A463" s="11"/>
    </row>
    <row r="464" ht="15.75" customHeight="1">
      <c r="A464" s="11"/>
    </row>
    <row r="465" ht="15.75" customHeight="1">
      <c r="A465" s="11"/>
    </row>
    <row r="466" ht="15.75" customHeight="1">
      <c r="A466" s="11"/>
    </row>
    <row r="467" ht="15.75" customHeight="1">
      <c r="A467" s="11"/>
    </row>
    <row r="468" ht="15.75" customHeight="1">
      <c r="A468" s="11"/>
    </row>
    <row r="469" ht="15.75" customHeight="1">
      <c r="A469" s="11"/>
    </row>
    <row r="470" ht="15.75" customHeight="1">
      <c r="A470" s="11"/>
    </row>
    <row r="471" ht="15.75" customHeight="1">
      <c r="A471" s="11"/>
    </row>
    <row r="472" ht="15.75" customHeight="1">
      <c r="A472" s="11"/>
    </row>
    <row r="473" ht="15.75" customHeight="1">
      <c r="A473" s="11"/>
    </row>
    <row r="474" ht="15.75" customHeight="1">
      <c r="A474" s="11"/>
    </row>
    <row r="475" ht="15.75" customHeight="1">
      <c r="A475" s="11"/>
    </row>
    <row r="476" ht="15.75" customHeight="1">
      <c r="A476" s="11"/>
    </row>
    <row r="477" ht="15.75" customHeight="1">
      <c r="A477" s="11"/>
    </row>
    <row r="478" ht="15.75" customHeight="1">
      <c r="A478" s="11"/>
    </row>
    <row r="479" ht="15.75" customHeight="1">
      <c r="A479" s="11"/>
    </row>
    <row r="480" ht="15.75" customHeight="1">
      <c r="A480" s="11"/>
    </row>
    <row r="481" ht="15.75" customHeight="1">
      <c r="A481" s="11"/>
    </row>
    <row r="482" ht="15.75" customHeight="1">
      <c r="A482" s="11"/>
    </row>
    <row r="483" ht="15.75" customHeight="1">
      <c r="A483" s="11"/>
    </row>
    <row r="484" ht="15.75" customHeight="1">
      <c r="A484" s="11"/>
    </row>
    <row r="485" ht="15.75" customHeight="1">
      <c r="A485" s="11"/>
    </row>
    <row r="486" ht="15.75" customHeight="1">
      <c r="A486" s="11"/>
    </row>
    <row r="487" ht="15.75" customHeight="1">
      <c r="A487" s="11"/>
    </row>
    <row r="488" ht="15.75" customHeight="1">
      <c r="A488" s="11"/>
    </row>
    <row r="489" ht="15.75" customHeight="1">
      <c r="A489" s="11"/>
    </row>
    <row r="490" ht="15.75" customHeight="1">
      <c r="A490" s="11"/>
    </row>
    <row r="491" ht="15.75" customHeight="1">
      <c r="A491" s="11"/>
    </row>
    <row r="492" ht="15.75" customHeight="1">
      <c r="A492" s="11"/>
    </row>
    <row r="493" ht="15.75" customHeight="1">
      <c r="A493" s="11"/>
    </row>
    <row r="494" ht="15.75" customHeight="1">
      <c r="A494" s="11"/>
    </row>
    <row r="495" ht="15.75" customHeight="1">
      <c r="A495" s="11"/>
    </row>
    <row r="496" ht="15.75" customHeight="1">
      <c r="A496" s="11"/>
    </row>
    <row r="497" ht="15.75" customHeight="1">
      <c r="A497" s="11"/>
    </row>
    <row r="498" ht="15.75" customHeight="1">
      <c r="A498" s="11"/>
    </row>
    <row r="499" ht="15.75" customHeight="1">
      <c r="A499" s="11"/>
    </row>
    <row r="500" ht="15.75" customHeight="1">
      <c r="A500" s="11"/>
    </row>
    <row r="501" ht="15.75" customHeight="1">
      <c r="A501" s="11"/>
    </row>
    <row r="502" ht="15.75" customHeight="1">
      <c r="A502" s="11"/>
    </row>
    <row r="503" ht="15.75" customHeight="1">
      <c r="A503" s="11"/>
    </row>
    <row r="504" ht="15.75" customHeight="1">
      <c r="A504" s="11"/>
    </row>
    <row r="505" ht="15.75" customHeight="1">
      <c r="A505" s="11"/>
    </row>
    <row r="506" ht="15.75" customHeight="1">
      <c r="A506" s="11"/>
    </row>
    <row r="507" ht="15.75" customHeight="1">
      <c r="A507" s="11"/>
    </row>
    <row r="508" ht="15.75" customHeight="1">
      <c r="A508" s="11"/>
    </row>
    <row r="509" ht="15.75" customHeight="1">
      <c r="A509" s="11"/>
    </row>
    <row r="510" ht="15.75" customHeight="1">
      <c r="A510" s="11"/>
    </row>
    <row r="511" ht="15.75" customHeight="1">
      <c r="A511" s="11"/>
    </row>
    <row r="512" ht="15.75" customHeight="1">
      <c r="A512" s="11"/>
    </row>
    <row r="513" ht="15.75" customHeight="1">
      <c r="A513" s="11"/>
    </row>
    <row r="514" ht="15.75" customHeight="1">
      <c r="A514" s="11"/>
    </row>
    <row r="515" ht="15.75" customHeight="1">
      <c r="A515" s="11"/>
    </row>
    <row r="516" ht="15.75" customHeight="1">
      <c r="A516" s="11"/>
    </row>
    <row r="517" ht="15.75" customHeight="1">
      <c r="A517" s="11"/>
    </row>
    <row r="518" ht="15.75" customHeight="1">
      <c r="A518" s="11"/>
    </row>
    <row r="519" ht="15.75" customHeight="1">
      <c r="A519" s="11"/>
    </row>
    <row r="520" ht="15.75" customHeight="1">
      <c r="A520" s="11"/>
    </row>
    <row r="521" ht="15.75" customHeight="1">
      <c r="A521" s="11"/>
    </row>
    <row r="522" ht="15.75" customHeight="1">
      <c r="A522" s="11"/>
    </row>
    <row r="523" ht="15.75" customHeight="1">
      <c r="A523" s="11"/>
    </row>
    <row r="524" ht="15.75" customHeight="1">
      <c r="A524" s="11"/>
    </row>
    <row r="525" ht="15.75" customHeight="1">
      <c r="A525" s="11"/>
    </row>
    <row r="526" ht="15.75" customHeight="1">
      <c r="A526" s="11"/>
    </row>
    <row r="527" ht="15.75" customHeight="1">
      <c r="A527" s="11"/>
    </row>
    <row r="528" ht="15.75" customHeight="1">
      <c r="A528" s="11"/>
    </row>
    <row r="529" ht="15.75" customHeight="1">
      <c r="A529" s="11"/>
    </row>
    <row r="530" ht="15.75" customHeight="1">
      <c r="A530" s="11"/>
    </row>
    <row r="531" ht="15.75" customHeight="1">
      <c r="A531" s="11"/>
    </row>
    <row r="532" ht="15.75" customHeight="1">
      <c r="A532" s="11"/>
    </row>
    <row r="533" ht="15.75" customHeight="1">
      <c r="A533" s="11"/>
    </row>
    <row r="534" ht="15.75" customHeight="1">
      <c r="A534" s="11"/>
    </row>
    <row r="535" ht="15.75" customHeight="1">
      <c r="A535" s="11"/>
    </row>
    <row r="536" ht="15.75" customHeight="1">
      <c r="A536" s="11"/>
    </row>
    <row r="537" ht="15.75" customHeight="1">
      <c r="A537" s="11"/>
    </row>
    <row r="538" ht="15.75" customHeight="1">
      <c r="A538" s="11"/>
    </row>
    <row r="539" ht="15.75" customHeight="1">
      <c r="A539" s="11"/>
    </row>
    <row r="540" ht="15.75" customHeight="1">
      <c r="A540" s="11"/>
    </row>
    <row r="541" ht="15.75" customHeight="1">
      <c r="A541" s="11"/>
    </row>
    <row r="542" ht="15.75" customHeight="1">
      <c r="A542" s="11"/>
    </row>
    <row r="543" ht="15.75" customHeight="1">
      <c r="A543" s="11"/>
    </row>
    <row r="544" ht="15.75" customHeight="1">
      <c r="A544" s="11"/>
    </row>
    <row r="545" ht="15.75" customHeight="1">
      <c r="A545" s="11"/>
    </row>
    <row r="546" ht="15.75" customHeight="1">
      <c r="A546" s="11"/>
    </row>
    <row r="547" ht="15.75" customHeight="1">
      <c r="A547" s="11"/>
    </row>
    <row r="548" ht="15.75" customHeight="1">
      <c r="A548" s="11"/>
    </row>
    <row r="549" ht="15.75" customHeight="1">
      <c r="A549" s="11"/>
    </row>
    <row r="550" ht="15.75" customHeight="1">
      <c r="A550" s="11"/>
    </row>
    <row r="551" ht="15.75" customHeight="1">
      <c r="A551" s="11"/>
    </row>
    <row r="552" ht="15.75" customHeight="1">
      <c r="A552" s="11"/>
    </row>
    <row r="553" ht="15.75" customHeight="1">
      <c r="A553" s="11"/>
    </row>
    <row r="554" ht="15.75" customHeight="1">
      <c r="A554" s="11"/>
    </row>
    <row r="555" ht="15.75" customHeight="1">
      <c r="A555" s="11"/>
    </row>
    <row r="556" ht="15.75" customHeight="1">
      <c r="A556" s="11"/>
    </row>
    <row r="557" ht="15.75" customHeight="1">
      <c r="A557" s="11"/>
    </row>
    <row r="558" ht="15.75" customHeight="1">
      <c r="A558" s="11"/>
    </row>
    <row r="559" ht="15.75" customHeight="1">
      <c r="A559" s="11"/>
    </row>
    <row r="560" ht="15.75" customHeight="1">
      <c r="A560" s="11"/>
    </row>
    <row r="561" ht="15.75" customHeight="1">
      <c r="A561" s="11"/>
    </row>
    <row r="562" ht="15.75" customHeight="1">
      <c r="A562" s="11"/>
    </row>
    <row r="563" ht="15.75" customHeight="1">
      <c r="A563" s="11"/>
    </row>
    <row r="564" ht="15.75" customHeight="1">
      <c r="A564" s="11"/>
    </row>
    <row r="565" ht="15.75" customHeight="1">
      <c r="A565" s="11"/>
    </row>
    <row r="566" ht="15.75" customHeight="1">
      <c r="A566" s="11"/>
    </row>
    <row r="567" ht="15.75" customHeight="1">
      <c r="A567" s="11"/>
    </row>
    <row r="568" ht="15.75" customHeight="1">
      <c r="A568" s="11"/>
    </row>
    <row r="569" ht="15.75" customHeight="1">
      <c r="A569" s="11"/>
    </row>
    <row r="570" ht="15.75" customHeight="1">
      <c r="A570" s="11"/>
    </row>
    <row r="571" ht="15.75" customHeight="1">
      <c r="A571" s="11"/>
    </row>
    <row r="572" ht="15.75" customHeight="1">
      <c r="A572" s="11"/>
    </row>
    <row r="573" ht="15.75" customHeight="1">
      <c r="A573" s="11"/>
    </row>
    <row r="574" ht="15.75" customHeight="1">
      <c r="A574" s="11"/>
    </row>
    <row r="575" ht="15.75" customHeight="1">
      <c r="A575" s="11"/>
    </row>
    <row r="576" ht="15.75" customHeight="1">
      <c r="A576" s="11"/>
    </row>
    <row r="577" ht="15.75" customHeight="1">
      <c r="A577" s="11"/>
    </row>
    <row r="578" ht="15.75" customHeight="1">
      <c r="A578" s="11"/>
    </row>
    <row r="579" ht="15.75" customHeight="1">
      <c r="A579" s="11"/>
    </row>
    <row r="580" ht="15.75" customHeight="1">
      <c r="A580" s="11"/>
    </row>
    <row r="581" ht="15.75" customHeight="1">
      <c r="A581" s="11"/>
    </row>
    <row r="582" ht="15.75" customHeight="1">
      <c r="A582" s="11"/>
    </row>
    <row r="583" ht="15.75" customHeight="1">
      <c r="A583" s="11"/>
    </row>
    <row r="584" ht="15.75" customHeight="1">
      <c r="A584" s="11"/>
    </row>
    <row r="585" ht="15.75" customHeight="1">
      <c r="A585" s="11"/>
    </row>
    <row r="586" ht="15.75" customHeight="1">
      <c r="A586" s="11"/>
    </row>
    <row r="587" ht="15.75" customHeight="1">
      <c r="A587" s="11"/>
    </row>
    <row r="588" ht="15.75" customHeight="1">
      <c r="A588" s="11"/>
    </row>
    <row r="589" ht="15.75" customHeight="1">
      <c r="A589" s="11"/>
    </row>
    <row r="590" ht="15.75" customHeight="1">
      <c r="A590" s="11"/>
    </row>
    <row r="591" ht="15.75" customHeight="1">
      <c r="A591" s="11"/>
    </row>
    <row r="592" ht="15.75" customHeight="1">
      <c r="A592" s="11"/>
    </row>
    <row r="593" ht="15.75" customHeight="1">
      <c r="A593" s="11"/>
    </row>
    <row r="594" ht="15.75" customHeight="1">
      <c r="A594" s="11"/>
    </row>
    <row r="595" ht="15.75" customHeight="1">
      <c r="A595" s="11"/>
    </row>
    <row r="596" ht="15.75" customHeight="1">
      <c r="A596" s="11"/>
    </row>
    <row r="597" ht="15.75" customHeight="1">
      <c r="A597" s="11"/>
    </row>
    <row r="598" ht="15.75" customHeight="1">
      <c r="A598" s="11"/>
    </row>
    <row r="599" ht="15.75" customHeight="1">
      <c r="A599" s="11"/>
    </row>
    <row r="600" ht="15.75" customHeight="1">
      <c r="A600" s="11"/>
    </row>
    <row r="601" ht="15.75" customHeight="1">
      <c r="A601" s="11"/>
    </row>
    <row r="602" ht="15.75" customHeight="1">
      <c r="A602" s="11"/>
    </row>
    <row r="603" ht="15.75" customHeight="1">
      <c r="A603" s="11"/>
    </row>
    <row r="604" ht="15.75" customHeight="1">
      <c r="A604" s="11"/>
    </row>
    <row r="605" ht="15.75" customHeight="1">
      <c r="A605" s="11"/>
    </row>
    <row r="606" ht="15.75" customHeight="1">
      <c r="A606" s="11"/>
    </row>
    <row r="607" ht="15.75" customHeight="1">
      <c r="A607" s="11"/>
    </row>
    <row r="608" ht="15.75" customHeight="1">
      <c r="A608" s="11"/>
    </row>
    <row r="609" ht="15.75" customHeight="1">
      <c r="A609" s="11"/>
    </row>
    <row r="610" ht="15.75" customHeight="1">
      <c r="A610" s="11"/>
    </row>
    <row r="611" ht="15.75" customHeight="1">
      <c r="A611" s="11"/>
    </row>
    <row r="612" ht="15.75" customHeight="1">
      <c r="A612" s="11"/>
    </row>
    <row r="613" ht="15.75" customHeight="1">
      <c r="A613" s="11"/>
    </row>
    <row r="614" ht="15.75" customHeight="1">
      <c r="A614" s="11"/>
    </row>
    <row r="615" ht="15.75" customHeight="1">
      <c r="A615" s="11"/>
    </row>
    <row r="616" ht="15.75" customHeight="1">
      <c r="A616" s="11"/>
    </row>
    <row r="617" ht="15.75" customHeight="1">
      <c r="A617" s="11"/>
    </row>
    <row r="618" ht="15.75" customHeight="1">
      <c r="A618" s="11"/>
    </row>
    <row r="619" ht="15.75" customHeight="1">
      <c r="A619" s="11"/>
    </row>
    <row r="620" ht="15.75" customHeight="1">
      <c r="A620" s="11"/>
    </row>
    <row r="621" ht="15.75" customHeight="1">
      <c r="A621" s="11"/>
    </row>
    <row r="622" ht="15.75" customHeight="1">
      <c r="A622" s="11"/>
    </row>
    <row r="623" ht="15.75" customHeight="1">
      <c r="A623" s="11"/>
    </row>
    <row r="624" ht="15.75" customHeight="1">
      <c r="A624" s="11"/>
    </row>
    <row r="625" ht="15.75" customHeight="1">
      <c r="A625" s="11"/>
    </row>
    <row r="626" ht="15.75" customHeight="1">
      <c r="A626" s="11"/>
    </row>
    <row r="627" ht="15.75" customHeight="1">
      <c r="A627" s="11"/>
    </row>
    <row r="628" ht="15.75" customHeight="1">
      <c r="A628" s="11"/>
    </row>
    <row r="629" ht="15.75" customHeight="1">
      <c r="A629" s="11"/>
    </row>
    <row r="630" ht="15.75" customHeight="1">
      <c r="A630" s="11"/>
    </row>
    <row r="631" ht="15.75" customHeight="1">
      <c r="A631" s="11"/>
    </row>
    <row r="632" ht="15.75" customHeight="1">
      <c r="A632" s="11"/>
    </row>
    <row r="633" ht="15.75" customHeight="1">
      <c r="A633" s="11"/>
    </row>
    <row r="634" ht="15.75" customHeight="1">
      <c r="A634" s="11"/>
    </row>
    <row r="635" ht="15.75" customHeight="1">
      <c r="A635" s="11"/>
    </row>
    <row r="636" ht="15.75" customHeight="1">
      <c r="A636" s="11"/>
    </row>
    <row r="637" ht="15.75" customHeight="1">
      <c r="A637" s="11"/>
    </row>
    <row r="638" ht="15.75" customHeight="1">
      <c r="A638" s="11"/>
    </row>
    <row r="639" ht="15.75" customHeight="1">
      <c r="A639" s="11"/>
    </row>
    <row r="640" ht="15.75" customHeight="1">
      <c r="A640" s="11"/>
    </row>
    <row r="641" ht="15.75" customHeight="1">
      <c r="A641" s="11"/>
    </row>
    <row r="642" ht="15.75" customHeight="1">
      <c r="A642" s="11"/>
    </row>
    <row r="643" ht="15.75" customHeight="1">
      <c r="A643" s="11"/>
    </row>
    <row r="644" ht="15.75" customHeight="1">
      <c r="A644" s="11"/>
    </row>
    <row r="645" ht="15.75" customHeight="1">
      <c r="A645" s="11"/>
    </row>
    <row r="646" ht="15.75" customHeight="1">
      <c r="A646" s="11"/>
    </row>
    <row r="647" ht="15.75" customHeight="1">
      <c r="A647" s="11"/>
    </row>
    <row r="648" ht="15.75" customHeight="1">
      <c r="A648" s="11"/>
    </row>
    <row r="649" ht="15.75" customHeight="1">
      <c r="A649" s="11"/>
    </row>
    <row r="650" ht="15.75" customHeight="1">
      <c r="A650" s="11"/>
    </row>
    <row r="651" ht="15.75" customHeight="1">
      <c r="A651" s="11"/>
    </row>
    <row r="652" ht="15.75" customHeight="1">
      <c r="A652" s="11"/>
    </row>
    <row r="653" ht="15.75" customHeight="1">
      <c r="A653" s="11"/>
    </row>
    <row r="654" ht="15.75" customHeight="1">
      <c r="A654" s="11"/>
    </row>
    <row r="655" ht="15.75" customHeight="1">
      <c r="A655" s="11"/>
    </row>
    <row r="656" ht="15.75" customHeight="1">
      <c r="A656" s="11"/>
    </row>
    <row r="657" ht="15.75" customHeight="1">
      <c r="A657" s="11"/>
    </row>
    <row r="658" ht="15.75" customHeight="1">
      <c r="A658" s="11"/>
    </row>
    <row r="659" ht="15.75" customHeight="1">
      <c r="A659" s="11"/>
    </row>
    <row r="660" ht="15.75" customHeight="1">
      <c r="A660" s="11"/>
    </row>
    <row r="661" ht="15.75" customHeight="1">
      <c r="A661" s="11"/>
    </row>
    <row r="662" ht="15.75" customHeight="1">
      <c r="A662" s="11"/>
    </row>
    <row r="663" ht="15.75" customHeight="1">
      <c r="A663" s="11"/>
    </row>
    <row r="664" ht="15.75" customHeight="1">
      <c r="A664" s="11"/>
    </row>
    <row r="665" ht="15.75" customHeight="1">
      <c r="A665" s="11"/>
    </row>
    <row r="666" ht="15.75" customHeight="1">
      <c r="A666" s="11"/>
    </row>
    <row r="667" ht="15.75" customHeight="1">
      <c r="A667" s="11"/>
    </row>
    <row r="668" ht="15.75" customHeight="1">
      <c r="A668" s="11"/>
    </row>
    <row r="669" ht="15.75" customHeight="1">
      <c r="A669" s="11"/>
    </row>
    <row r="670" ht="15.75" customHeight="1">
      <c r="A670" s="11"/>
    </row>
    <row r="671" ht="15.75" customHeight="1">
      <c r="A671" s="11"/>
    </row>
    <row r="672" ht="15.75" customHeight="1">
      <c r="A672" s="11"/>
    </row>
    <row r="673" ht="15.75" customHeight="1">
      <c r="A673" s="11"/>
    </row>
    <row r="674" ht="15.75" customHeight="1">
      <c r="A674" s="11"/>
    </row>
    <row r="675" ht="15.75" customHeight="1">
      <c r="A675" s="11"/>
    </row>
    <row r="676" ht="15.75" customHeight="1">
      <c r="A676" s="11"/>
    </row>
    <row r="677" ht="15.75" customHeight="1">
      <c r="A677" s="11"/>
    </row>
    <row r="678" ht="15.75" customHeight="1">
      <c r="A678" s="11"/>
    </row>
    <row r="679" ht="15.75" customHeight="1">
      <c r="A679" s="11"/>
    </row>
    <row r="680" ht="15.75" customHeight="1">
      <c r="A680" s="11"/>
    </row>
    <row r="681" ht="15.75" customHeight="1">
      <c r="A681" s="11"/>
    </row>
    <row r="682" ht="15.75" customHeight="1">
      <c r="A682" s="11"/>
    </row>
    <row r="683" ht="15.75" customHeight="1">
      <c r="A683" s="11"/>
    </row>
    <row r="684" ht="15.75" customHeight="1">
      <c r="A684" s="11"/>
    </row>
    <row r="685" ht="15.75" customHeight="1">
      <c r="A685" s="11"/>
    </row>
    <row r="686" ht="15.75" customHeight="1">
      <c r="A686" s="11"/>
    </row>
    <row r="687" ht="15.75" customHeight="1">
      <c r="A687" s="11"/>
    </row>
    <row r="688" ht="15.75" customHeight="1">
      <c r="A688" s="11"/>
    </row>
    <row r="689" ht="15.75" customHeight="1">
      <c r="A689" s="11"/>
    </row>
    <row r="690" ht="15.75" customHeight="1">
      <c r="A690" s="11"/>
    </row>
    <row r="691" ht="15.75" customHeight="1">
      <c r="A691" s="11"/>
    </row>
    <row r="692" ht="15.75" customHeight="1">
      <c r="A692" s="11"/>
    </row>
    <row r="693" ht="15.75" customHeight="1">
      <c r="A693" s="11"/>
    </row>
    <row r="694" ht="15.75" customHeight="1">
      <c r="A694" s="11"/>
    </row>
    <row r="695" ht="15.75" customHeight="1">
      <c r="A695" s="11"/>
    </row>
    <row r="696" ht="15.75" customHeight="1">
      <c r="A696" s="11"/>
    </row>
    <row r="697" ht="15.75" customHeight="1">
      <c r="A697" s="11"/>
    </row>
    <row r="698" ht="15.75" customHeight="1">
      <c r="A698" s="11"/>
    </row>
    <row r="699" ht="15.75" customHeight="1">
      <c r="A699" s="11"/>
    </row>
    <row r="700" ht="15.75" customHeight="1">
      <c r="A700" s="11"/>
    </row>
    <row r="701" ht="15.75" customHeight="1">
      <c r="A701" s="11"/>
    </row>
    <row r="702" ht="15.75" customHeight="1">
      <c r="A702" s="11"/>
    </row>
    <row r="703" ht="15.75" customHeight="1">
      <c r="A703" s="11"/>
    </row>
    <row r="704" ht="15.75" customHeight="1">
      <c r="A704" s="11"/>
    </row>
    <row r="705" ht="15.75" customHeight="1">
      <c r="A705" s="11"/>
    </row>
    <row r="706" ht="15.75" customHeight="1">
      <c r="A706" s="11"/>
    </row>
    <row r="707" ht="15.75" customHeight="1">
      <c r="A707" s="11"/>
    </row>
    <row r="708" ht="15.75" customHeight="1">
      <c r="A708" s="11"/>
    </row>
    <row r="709" ht="15.75" customHeight="1">
      <c r="A709" s="11"/>
    </row>
    <row r="710" ht="15.75" customHeight="1">
      <c r="A710" s="11"/>
    </row>
    <row r="711" ht="15.75" customHeight="1">
      <c r="A711" s="11"/>
    </row>
    <row r="712" ht="15.75" customHeight="1">
      <c r="A712" s="11"/>
    </row>
    <row r="713" ht="15.75" customHeight="1">
      <c r="A713" s="11"/>
    </row>
    <row r="714" ht="15.75" customHeight="1">
      <c r="A714" s="11"/>
    </row>
    <row r="715" ht="15.75" customHeight="1">
      <c r="A715" s="11"/>
    </row>
    <row r="716" ht="15.75" customHeight="1">
      <c r="A716" s="11"/>
    </row>
    <row r="717" ht="15.75" customHeight="1">
      <c r="A717" s="11"/>
    </row>
    <row r="718" ht="15.75" customHeight="1">
      <c r="A718" s="11"/>
    </row>
    <row r="719" ht="15.75" customHeight="1">
      <c r="A719" s="11"/>
    </row>
    <row r="720" ht="15.75" customHeight="1">
      <c r="A720" s="11"/>
    </row>
    <row r="721" ht="15.75" customHeight="1">
      <c r="A721" s="11"/>
    </row>
    <row r="722" ht="15.75" customHeight="1">
      <c r="A722" s="11"/>
    </row>
    <row r="723" ht="15.75" customHeight="1">
      <c r="A723" s="11"/>
    </row>
    <row r="724" ht="15.75" customHeight="1">
      <c r="A724" s="11"/>
    </row>
    <row r="725" ht="15.75" customHeight="1">
      <c r="A725" s="11"/>
    </row>
    <row r="726" ht="15.75" customHeight="1">
      <c r="A726" s="11"/>
    </row>
    <row r="727" ht="15.75" customHeight="1">
      <c r="A727" s="11"/>
    </row>
    <row r="728" ht="15.75" customHeight="1">
      <c r="A728" s="11"/>
    </row>
    <row r="729" ht="15.75" customHeight="1">
      <c r="A729" s="11"/>
    </row>
    <row r="730" ht="15.75" customHeight="1">
      <c r="A730" s="11"/>
    </row>
    <row r="731" ht="15.75" customHeight="1">
      <c r="A731" s="11"/>
    </row>
    <row r="732" ht="15.75" customHeight="1">
      <c r="A732" s="11"/>
    </row>
    <row r="733" ht="15.75" customHeight="1">
      <c r="A733" s="11"/>
    </row>
    <row r="734" ht="15.75" customHeight="1">
      <c r="A734" s="11"/>
    </row>
    <row r="735" ht="15.75" customHeight="1">
      <c r="A735" s="11"/>
    </row>
    <row r="736" ht="15.75" customHeight="1">
      <c r="A736" s="11"/>
    </row>
    <row r="737" ht="15.75" customHeight="1">
      <c r="A737" s="11"/>
    </row>
    <row r="738" ht="15.75" customHeight="1">
      <c r="A738" s="11"/>
    </row>
    <row r="739" ht="15.75" customHeight="1">
      <c r="A739" s="11"/>
    </row>
    <row r="740" ht="15.75" customHeight="1">
      <c r="A740" s="11"/>
    </row>
    <row r="741" ht="15.75" customHeight="1">
      <c r="A741" s="11"/>
    </row>
    <row r="742" ht="15.75" customHeight="1">
      <c r="A742" s="11"/>
    </row>
    <row r="743" ht="15.75" customHeight="1">
      <c r="A743" s="11"/>
    </row>
    <row r="744" ht="15.75" customHeight="1">
      <c r="A744" s="11"/>
    </row>
    <row r="745" ht="15.75" customHeight="1">
      <c r="A745" s="11"/>
    </row>
    <row r="746" ht="15.75" customHeight="1">
      <c r="A746" s="11"/>
    </row>
    <row r="747" ht="15.75" customHeight="1">
      <c r="A747" s="11"/>
    </row>
    <row r="748" ht="15.75" customHeight="1">
      <c r="A748" s="11"/>
    </row>
    <row r="749" ht="15.75" customHeight="1">
      <c r="A749" s="11"/>
    </row>
    <row r="750" ht="15.75" customHeight="1">
      <c r="A750" s="11"/>
    </row>
    <row r="751" ht="15.75" customHeight="1">
      <c r="A751" s="11"/>
    </row>
    <row r="752" ht="15.75" customHeight="1">
      <c r="A752" s="11"/>
    </row>
    <row r="753" ht="15.75" customHeight="1">
      <c r="A753" s="11"/>
    </row>
    <row r="754" ht="15.75" customHeight="1">
      <c r="A754" s="11"/>
    </row>
    <row r="755" ht="15.75" customHeight="1">
      <c r="A755" s="11"/>
    </row>
    <row r="756" ht="15.75" customHeight="1">
      <c r="A756" s="11"/>
    </row>
    <row r="757" ht="15.75" customHeight="1">
      <c r="A757" s="11"/>
    </row>
    <row r="758" ht="15.75" customHeight="1">
      <c r="A758" s="11"/>
    </row>
    <row r="759" ht="15.75" customHeight="1">
      <c r="A759" s="11"/>
    </row>
    <row r="760" ht="15.75" customHeight="1">
      <c r="A760" s="11"/>
    </row>
    <row r="761" ht="15.75" customHeight="1">
      <c r="A761" s="11"/>
    </row>
    <row r="762" ht="15.75" customHeight="1">
      <c r="A762" s="11"/>
    </row>
    <row r="763" ht="15.75" customHeight="1">
      <c r="A763" s="11"/>
    </row>
    <row r="764" ht="15.75" customHeight="1">
      <c r="A764" s="11"/>
    </row>
    <row r="765" ht="15.75" customHeight="1">
      <c r="A765" s="11"/>
    </row>
    <row r="766" ht="15.75" customHeight="1">
      <c r="A766" s="11"/>
    </row>
    <row r="767" ht="15.75" customHeight="1">
      <c r="A767" s="11"/>
    </row>
    <row r="768" ht="15.75" customHeight="1">
      <c r="A768" s="11"/>
    </row>
    <row r="769" ht="15.75" customHeight="1">
      <c r="A769" s="11"/>
    </row>
    <row r="770" ht="15.75" customHeight="1">
      <c r="A770" s="11"/>
    </row>
    <row r="771" ht="15.75" customHeight="1">
      <c r="A771" s="11"/>
    </row>
    <row r="772" ht="15.75" customHeight="1">
      <c r="A772" s="11"/>
    </row>
    <row r="773" ht="15.75" customHeight="1">
      <c r="A773" s="11"/>
    </row>
    <row r="774" ht="15.75" customHeight="1">
      <c r="A774" s="11"/>
    </row>
    <row r="775" ht="15.75" customHeight="1">
      <c r="A775" s="11"/>
    </row>
    <row r="776" ht="15.75" customHeight="1">
      <c r="A776" s="11"/>
    </row>
    <row r="777" ht="15.75" customHeight="1">
      <c r="A777" s="11"/>
    </row>
    <row r="778" ht="15.75" customHeight="1">
      <c r="A778" s="11"/>
    </row>
    <row r="779" ht="15.75" customHeight="1">
      <c r="A779" s="11"/>
    </row>
    <row r="780" ht="15.75" customHeight="1">
      <c r="A780" s="11"/>
    </row>
    <row r="781" ht="15.75" customHeight="1">
      <c r="A781" s="11"/>
    </row>
    <row r="782" ht="15.75" customHeight="1">
      <c r="A782" s="11"/>
    </row>
    <row r="783" ht="15.75" customHeight="1">
      <c r="A783" s="11"/>
    </row>
    <row r="784" ht="15.75" customHeight="1">
      <c r="A784" s="11"/>
    </row>
    <row r="785" ht="15.75" customHeight="1">
      <c r="A785" s="11"/>
    </row>
    <row r="786" ht="15.75" customHeight="1">
      <c r="A786" s="11"/>
    </row>
    <row r="787" ht="15.75" customHeight="1">
      <c r="A787" s="11"/>
    </row>
    <row r="788" ht="15.75" customHeight="1">
      <c r="A788" s="11"/>
    </row>
    <row r="789" ht="15.75" customHeight="1">
      <c r="A789" s="11"/>
    </row>
    <row r="790" ht="15.75" customHeight="1">
      <c r="A790" s="11"/>
    </row>
    <row r="791" ht="15.75" customHeight="1">
      <c r="A791" s="11"/>
    </row>
    <row r="792" ht="15.75" customHeight="1">
      <c r="A792" s="11"/>
    </row>
    <row r="793" ht="15.75" customHeight="1">
      <c r="A793" s="11"/>
    </row>
    <row r="794" ht="15.75" customHeight="1">
      <c r="A794" s="11"/>
    </row>
    <row r="795" ht="15.75" customHeight="1">
      <c r="A795" s="11"/>
    </row>
    <row r="796" ht="15.75" customHeight="1">
      <c r="A796" s="11"/>
    </row>
    <row r="797" ht="15.75" customHeight="1">
      <c r="A797" s="11"/>
    </row>
    <row r="798" ht="15.75" customHeight="1">
      <c r="A798" s="11"/>
    </row>
    <row r="799" ht="15.75" customHeight="1">
      <c r="A799" s="11"/>
    </row>
    <row r="800" ht="15.75" customHeight="1">
      <c r="A800" s="11"/>
    </row>
    <row r="801" ht="15.75" customHeight="1">
      <c r="A801" s="11"/>
    </row>
    <row r="802" ht="15.75" customHeight="1">
      <c r="A802" s="11"/>
    </row>
    <row r="803" ht="15.75" customHeight="1">
      <c r="A803" s="11"/>
    </row>
    <row r="804" ht="15.75" customHeight="1">
      <c r="A804" s="11"/>
    </row>
    <row r="805" ht="15.75" customHeight="1">
      <c r="A805" s="11"/>
    </row>
    <row r="806" ht="15.75" customHeight="1">
      <c r="A806" s="11"/>
    </row>
    <row r="807" ht="15.75" customHeight="1">
      <c r="A807" s="11"/>
    </row>
    <row r="808" ht="15.75" customHeight="1">
      <c r="A808" s="11"/>
    </row>
    <row r="809" ht="15.75" customHeight="1">
      <c r="A809" s="11"/>
    </row>
    <row r="810" ht="15.75" customHeight="1">
      <c r="A810" s="11"/>
    </row>
    <row r="811" ht="15.75" customHeight="1">
      <c r="A811" s="11"/>
    </row>
    <row r="812" ht="15.75" customHeight="1">
      <c r="A812" s="11"/>
    </row>
    <row r="813" ht="15.75" customHeight="1">
      <c r="A813" s="11"/>
    </row>
    <row r="814" ht="15.75" customHeight="1">
      <c r="A814" s="11"/>
    </row>
    <row r="815" ht="15.75" customHeight="1">
      <c r="A815" s="11"/>
    </row>
    <row r="816" ht="15.75" customHeight="1">
      <c r="A816" s="11"/>
    </row>
    <row r="817" ht="15.75" customHeight="1">
      <c r="A817" s="11"/>
    </row>
    <row r="818" ht="15.75" customHeight="1">
      <c r="A818" s="11"/>
    </row>
    <row r="819" ht="15.75" customHeight="1">
      <c r="A819" s="11"/>
    </row>
    <row r="820" ht="15.75" customHeight="1">
      <c r="A820" s="11"/>
    </row>
    <row r="821" ht="15.75" customHeight="1">
      <c r="A821" s="11"/>
    </row>
    <row r="822" ht="15.75" customHeight="1">
      <c r="A822" s="11"/>
    </row>
    <row r="823" ht="15.75" customHeight="1">
      <c r="A823" s="11"/>
    </row>
    <row r="824" ht="15.75" customHeight="1">
      <c r="A824" s="11"/>
    </row>
    <row r="825" ht="15.75" customHeight="1">
      <c r="A825" s="11"/>
    </row>
    <row r="826" ht="15.75" customHeight="1">
      <c r="A826" s="11"/>
    </row>
    <row r="827" ht="15.75" customHeight="1">
      <c r="A827" s="11"/>
    </row>
    <row r="828" ht="15.75" customHeight="1">
      <c r="A828" s="11"/>
    </row>
    <row r="829" ht="15.75" customHeight="1">
      <c r="A829" s="11"/>
    </row>
    <row r="830" ht="15.75" customHeight="1">
      <c r="A830" s="11"/>
    </row>
    <row r="831" ht="15.75" customHeight="1">
      <c r="A831" s="11"/>
    </row>
    <row r="832" ht="15.75" customHeight="1">
      <c r="A832" s="11"/>
    </row>
    <row r="833" ht="15.75" customHeight="1">
      <c r="A833" s="11"/>
    </row>
    <row r="834" ht="15.75" customHeight="1">
      <c r="A834" s="11"/>
    </row>
    <row r="835" ht="15.75" customHeight="1">
      <c r="A835" s="11"/>
    </row>
    <row r="836" ht="15.75" customHeight="1">
      <c r="A836" s="11"/>
    </row>
    <row r="837" ht="15.75" customHeight="1">
      <c r="A837" s="11"/>
    </row>
    <row r="838" ht="15.75" customHeight="1">
      <c r="A838" s="11"/>
    </row>
    <row r="839" ht="15.75" customHeight="1">
      <c r="A839" s="11"/>
    </row>
    <row r="840" ht="15.75" customHeight="1">
      <c r="A840" s="11"/>
    </row>
    <row r="841" ht="15.75" customHeight="1">
      <c r="A841" s="11"/>
    </row>
    <row r="842" ht="15.75" customHeight="1">
      <c r="A842" s="11"/>
    </row>
    <row r="843" ht="15.75" customHeight="1">
      <c r="A843" s="11"/>
    </row>
    <row r="844" ht="15.75" customHeight="1">
      <c r="A844" s="11"/>
    </row>
    <row r="845" ht="15.75" customHeight="1">
      <c r="A845" s="11"/>
    </row>
    <row r="846" ht="15.75" customHeight="1">
      <c r="A846" s="11"/>
    </row>
    <row r="847" ht="15.75" customHeight="1">
      <c r="A847" s="11"/>
    </row>
    <row r="848" ht="15.75" customHeight="1">
      <c r="A848" s="11"/>
    </row>
    <row r="849" ht="15.75" customHeight="1">
      <c r="A849" s="11"/>
    </row>
    <row r="850" ht="15.75" customHeight="1">
      <c r="A850" s="11"/>
    </row>
    <row r="851" ht="15.75" customHeight="1">
      <c r="A851" s="11"/>
    </row>
    <row r="852" ht="15.75" customHeight="1">
      <c r="A852" s="11"/>
    </row>
    <row r="853" ht="15.75" customHeight="1">
      <c r="A853" s="11"/>
    </row>
    <row r="854" ht="15.75" customHeight="1">
      <c r="A854" s="11"/>
    </row>
    <row r="855" ht="15.75" customHeight="1">
      <c r="A855" s="11"/>
    </row>
    <row r="856" ht="15.75" customHeight="1">
      <c r="A856" s="11"/>
    </row>
    <row r="857" ht="15.75" customHeight="1">
      <c r="A857" s="11"/>
    </row>
    <row r="858" ht="15.75" customHeight="1">
      <c r="A858" s="11"/>
    </row>
    <row r="859" ht="15.75" customHeight="1">
      <c r="A859" s="11"/>
    </row>
    <row r="860" ht="15.75" customHeight="1">
      <c r="A860" s="11"/>
    </row>
    <row r="861" ht="15.75" customHeight="1">
      <c r="A861" s="11"/>
    </row>
    <row r="862" ht="15.75" customHeight="1">
      <c r="A862" s="11"/>
    </row>
    <row r="863" ht="15.75" customHeight="1">
      <c r="A863" s="11"/>
    </row>
    <row r="864" ht="15.75" customHeight="1">
      <c r="A864" s="11"/>
    </row>
    <row r="865" ht="15.75" customHeight="1">
      <c r="A865" s="11"/>
    </row>
    <row r="866" ht="15.75" customHeight="1">
      <c r="A866" s="11"/>
    </row>
    <row r="867" ht="15.75" customHeight="1">
      <c r="A867" s="11"/>
    </row>
    <row r="868" ht="15.75" customHeight="1">
      <c r="A868" s="11"/>
    </row>
    <row r="869" ht="15.75" customHeight="1">
      <c r="A869" s="11"/>
    </row>
    <row r="870" ht="15.75" customHeight="1">
      <c r="A870" s="11"/>
    </row>
    <row r="871" ht="15.75" customHeight="1">
      <c r="A871" s="11"/>
    </row>
    <row r="872" ht="15.75" customHeight="1">
      <c r="A872" s="11"/>
    </row>
    <row r="873" ht="15.75" customHeight="1">
      <c r="A873" s="11"/>
    </row>
    <row r="874" ht="15.75" customHeight="1">
      <c r="A874" s="11"/>
    </row>
    <row r="875" ht="15.75" customHeight="1">
      <c r="A875" s="11"/>
    </row>
    <row r="876" ht="15.75" customHeight="1">
      <c r="A876" s="11"/>
    </row>
    <row r="877" ht="15.75" customHeight="1">
      <c r="A877" s="11"/>
    </row>
    <row r="878" ht="15.75" customHeight="1">
      <c r="A878" s="11"/>
    </row>
    <row r="879" ht="15.75" customHeight="1">
      <c r="A879" s="11"/>
    </row>
    <row r="880" ht="15.75" customHeight="1">
      <c r="A880" s="11"/>
    </row>
    <row r="881" ht="15.75" customHeight="1">
      <c r="A881" s="11"/>
    </row>
    <row r="882" ht="15.75" customHeight="1">
      <c r="A882" s="11"/>
    </row>
    <row r="883" ht="15.75" customHeight="1">
      <c r="A883" s="11"/>
    </row>
    <row r="884" ht="15.75" customHeight="1">
      <c r="A884" s="11"/>
    </row>
    <row r="885" ht="15.75" customHeight="1">
      <c r="A885" s="11"/>
    </row>
    <row r="886" ht="15.75" customHeight="1">
      <c r="A886" s="11"/>
    </row>
    <row r="887" ht="15.75" customHeight="1">
      <c r="A887" s="11"/>
    </row>
    <row r="888" ht="15.75" customHeight="1">
      <c r="A888" s="11"/>
    </row>
    <row r="889" ht="15.75" customHeight="1">
      <c r="A889" s="11"/>
    </row>
    <row r="890" ht="15.75" customHeight="1">
      <c r="A890" s="11"/>
    </row>
    <row r="891" ht="15.75" customHeight="1">
      <c r="A891" s="11"/>
    </row>
    <row r="892" ht="15.75" customHeight="1">
      <c r="A892" s="11"/>
    </row>
    <row r="893" ht="15.75" customHeight="1">
      <c r="A893" s="11"/>
    </row>
    <row r="894" ht="15.75" customHeight="1">
      <c r="A894" s="11"/>
    </row>
    <row r="895" ht="15.75" customHeight="1">
      <c r="A895" s="11"/>
    </row>
    <row r="896" ht="15.75" customHeight="1">
      <c r="A896" s="11"/>
    </row>
    <row r="897" ht="15.75" customHeight="1">
      <c r="A897" s="11"/>
    </row>
    <row r="898" ht="15.75" customHeight="1">
      <c r="A898" s="11"/>
    </row>
    <row r="899" ht="15.75" customHeight="1">
      <c r="A899" s="11"/>
    </row>
    <row r="900" ht="15.75" customHeight="1">
      <c r="A900" s="11"/>
    </row>
    <row r="901" ht="15.75" customHeight="1">
      <c r="A901" s="11"/>
    </row>
    <row r="902" ht="15.75" customHeight="1">
      <c r="A902" s="11"/>
    </row>
    <row r="903" ht="15.75" customHeight="1">
      <c r="A903" s="11"/>
    </row>
    <row r="904" ht="15.75" customHeight="1">
      <c r="A904" s="11"/>
    </row>
    <row r="905" ht="15.75" customHeight="1">
      <c r="A905" s="11"/>
    </row>
    <row r="906" ht="15.75" customHeight="1">
      <c r="A906" s="11"/>
    </row>
    <row r="907" ht="15.75" customHeight="1">
      <c r="A907" s="11"/>
    </row>
    <row r="908" ht="15.75" customHeight="1">
      <c r="A908" s="11"/>
    </row>
    <row r="909" ht="15.75" customHeight="1">
      <c r="A909" s="11"/>
    </row>
    <row r="910" ht="15.75" customHeight="1">
      <c r="A910" s="11"/>
    </row>
    <row r="911" ht="15.75" customHeight="1">
      <c r="A911" s="11"/>
    </row>
    <row r="912" ht="15.75" customHeight="1">
      <c r="A912" s="11"/>
    </row>
    <row r="913" ht="15.75" customHeight="1">
      <c r="A913" s="11"/>
    </row>
    <row r="914" ht="15.75" customHeight="1">
      <c r="A914" s="11"/>
    </row>
    <row r="915" ht="15.75" customHeight="1">
      <c r="A915" s="11"/>
    </row>
    <row r="916" ht="15.75" customHeight="1">
      <c r="A916" s="11"/>
    </row>
    <row r="917" ht="15.75" customHeight="1">
      <c r="A917" s="11"/>
    </row>
    <row r="918" ht="15.75" customHeight="1">
      <c r="A918" s="11"/>
    </row>
    <row r="919" ht="15.75" customHeight="1">
      <c r="A919" s="11"/>
    </row>
    <row r="920" ht="15.75" customHeight="1">
      <c r="A920" s="11"/>
    </row>
    <row r="921" ht="15.75" customHeight="1">
      <c r="A921" s="11"/>
    </row>
    <row r="922" ht="15.75" customHeight="1">
      <c r="A922" s="11"/>
    </row>
    <row r="923" ht="15.75" customHeight="1">
      <c r="A923" s="11"/>
    </row>
    <row r="924" ht="15.75" customHeight="1">
      <c r="A924" s="11"/>
    </row>
    <row r="925" ht="15.75" customHeight="1">
      <c r="A925" s="11"/>
    </row>
    <row r="926" ht="15.75" customHeight="1">
      <c r="A926" s="11"/>
    </row>
    <row r="927" ht="15.75" customHeight="1">
      <c r="A927" s="11"/>
    </row>
    <row r="928" ht="15.75" customHeight="1">
      <c r="A928" s="11"/>
    </row>
    <row r="929" ht="15.75" customHeight="1">
      <c r="A929" s="11"/>
    </row>
    <row r="930" ht="15.75" customHeight="1">
      <c r="A930" s="11"/>
    </row>
    <row r="931" ht="15.75" customHeight="1">
      <c r="A931" s="11"/>
    </row>
    <row r="932" ht="15.75" customHeight="1">
      <c r="A932" s="11"/>
    </row>
    <row r="933" ht="15.75" customHeight="1">
      <c r="A933" s="11"/>
    </row>
    <row r="934" ht="15.75" customHeight="1">
      <c r="A934" s="11"/>
    </row>
    <row r="935" ht="15.75" customHeight="1">
      <c r="A935" s="11"/>
    </row>
    <row r="936" ht="15.75" customHeight="1">
      <c r="A936" s="11"/>
    </row>
    <row r="937" ht="15.75" customHeight="1">
      <c r="A937" s="11"/>
    </row>
    <row r="938" ht="15.75" customHeight="1">
      <c r="A938" s="11"/>
    </row>
    <row r="939" ht="15.75" customHeight="1">
      <c r="A939" s="11"/>
    </row>
    <row r="940" ht="15.75" customHeight="1">
      <c r="A940" s="11"/>
    </row>
    <row r="941" ht="15.75" customHeight="1">
      <c r="A941" s="11"/>
    </row>
    <row r="942" ht="15.75" customHeight="1">
      <c r="A942" s="11"/>
    </row>
    <row r="943" ht="15.75" customHeight="1">
      <c r="A943" s="11"/>
    </row>
    <row r="944" ht="15.75" customHeight="1">
      <c r="A944" s="11"/>
    </row>
    <row r="945" ht="15.75" customHeight="1">
      <c r="A945" s="11"/>
    </row>
    <row r="946" ht="15.75" customHeight="1">
      <c r="A946" s="11"/>
    </row>
    <row r="947" ht="15.75" customHeight="1">
      <c r="A947" s="11"/>
    </row>
    <row r="948" ht="15.75" customHeight="1">
      <c r="A948" s="11"/>
    </row>
    <row r="949" ht="15.75" customHeight="1">
      <c r="A949" s="11"/>
    </row>
    <row r="950" ht="15.75" customHeight="1">
      <c r="A950" s="11"/>
    </row>
    <row r="951" ht="15.75" customHeight="1">
      <c r="A951" s="11"/>
    </row>
    <row r="952" ht="15.75" customHeight="1">
      <c r="A952" s="11"/>
    </row>
    <row r="953" ht="15.75" customHeight="1">
      <c r="A953" s="11"/>
    </row>
    <row r="954" ht="15.75" customHeight="1">
      <c r="A954" s="11"/>
    </row>
    <row r="955" ht="15.75" customHeight="1">
      <c r="A955" s="11"/>
    </row>
    <row r="956" ht="15.75" customHeight="1">
      <c r="A956" s="11"/>
    </row>
    <row r="957" ht="15.75" customHeight="1">
      <c r="A957" s="11"/>
    </row>
    <row r="958" ht="15.75" customHeight="1">
      <c r="A958" s="11"/>
    </row>
    <row r="959" ht="15.75" customHeight="1">
      <c r="A959" s="11"/>
    </row>
    <row r="960" ht="15.75" customHeight="1">
      <c r="A960" s="11"/>
    </row>
    <row r="961" ht="15.75" customHeight="1">
      <c r="A961" s="11"/>
    </row>
    <row r="962" ht="15.75" customHeight="1">
      <c r="A962" s="11"/>
    </row>
    <row r="963" ht="15.75" customHeight="1">
      <c r="A963" s="11"/>
    </row>
    <row r="964" ht="15.75" customHeight="1">
      <c r="A964" s="11"/>
    </row>
    <row r="965" ht="15.75" customHeight="1">
      <c r="A965" s="11"/>
    </row>
    <row r="966" ht="15.75" customHeight="1">
      <c r="A966" s="11"/>
    </row>
    <row r="967" ht="15.75" customHeight="1">
      <c r="A967" s="11"/>
    </row>
    <row r="968" ht="15.75" customHeight="1">
      <c r="A968" s="11"/>
    </row>
    <row r="969" ht="15.75" customHeight="1">
      <c r="A969" s="11"/>
    </row>
    <row r="970" ht="15.75" customHeight="1">
      <c r="A970" s="11"/>
    </row>
    <row r="971" ht="15.75" customHeight="1">
      <c r="A971" s="11"/>
    </row>
    <row r="972" ht="15.75" customHeight="1">
      <c r="A972" s="11"/>
    </row>
    <row r="973" ht="15.75" customHeight="1">
      <c r="A973" s="11"/>
    </row>
    <row r="974" ht="15.75" customHeight="1">
      <c r="A974" s="11"/>
    </row>
    <row r="975" ht="15.75" customHeight="1">
      <c r="A975" s="11"/>
    </row>
    <row r="976" ht="15.75" customHeight="1">
      <c r="A976" s="11"/>
    </row>
    <row r="977" ht="15.75" customHeight="1">
      <c r="A977" s="11"/>
    </row>
    <row r="978" ht="15.75" customHeight="1">
      <c r="A978" s="11"/>
    </row>
    <row r="979" ht="15.75" customHeight="1">
      <c r="A979" s="11"/>
    </row>
    <row r="980" ht="15.75" customHeight="1">
      <c r="A980" s="11"/>
    </row>
    <row r="981" ht="15.75" customHeight="1">
      <c r="A981" s="11"/>
    </row>
    <row r="982" ht="15.75" customHeight="1">
      <c r="A982" s="11"/>
    </row>
    <row r="983" ht="15.75" customHeight="1">
      <c r="A983" s="11"/>
    </row>
    <row r="984" ht="15.75" customHeight="1">
      <c r="A984" s="11"/>
    </row>
    <row r="985" ht="15.75" customHeight="1">
      <c r="A985" s="11"/>
    </row>
    <row r="986" ht="15.75" customHeight="1">
      <c r="A986" s="11"/>
    </row>
    <row r="987" ht="15.75" customHeight="1">
      <c r="A987" s="11"/>
    </row>
    <row r="988" ht="15.75" customHeight="1">
      <c r="A988" s="11"/>
    </row>
    <row r="989" ht="15.75" customHeight="1">
      <c r="A989" s="11"/>
    </row>
    <row r="990" ht="15.75" customHeight="1">
      <c r="A990" s="11"/>
    </row>
    <row r="991" ht="15.75" customHeight="1">
      <c r="A991" s="11"/>
    </row>
    <row r="992" ht="15.75" customHeight="1">
      <c r="A992" s="11"/>
    </row>
    <row r="993" ht="15.75" customHeight="1">
      <c r="A993" s="11"/>
    </row>
    <row r="994" ht="15.75" customHeight="1">
      <c r="A994" s="11"/>
    </row>
    <row r="995" ht="15.75" customHeight="1">
      <c r="A995" s="11"/>
    </row>
    <row r="996" ht="15.75" customHeight="1">
      <c r="A996" s="11"/>
    </row>
    <row r="997" ht="15.75" customHeight="1">
      <c r="A997" s="11"/>
    </row>
    <row r="998" ht="15.75" customHeight="1">
      <c r="A998" s="11"/>
    </row>
    <row r="999" ht="15.75" customHeight="1">
      <c r="A999" s="11"/>
    </row>
    <row r="1000" ht="15.75" customHeight="1">
      <c r="A1000" s="11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B9E7C"/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4.0"/>
    <col customWidth="1" min="3" max="3" width="48.0"/>
    <col customWidth="1" min="4" max="26" width="8.71"/>
  </cols>
  <sheetData>
    <row r="1">
      <c r="A1" s="36" t="s">
        <v>192</v>
      </c>
    </row>
    <row r="2">
      <c r="A2" s="37" t="s">
        <v>193</v>
      </c>
    </row>
    <row r="4">
      <c r="A4" s="13" t="s">
        <v>194</v>
      </c>
      <c r="B4" s="38"/>
      <c r="C4" s="38"/>
    </row>
    <row r="5">
      <c r="A5" s="39" t="s">
        <v>195</v>
      </c>
      <c r="B5" s="40">
        <v>19.0</v>
      </c>
      <c r="C5" s="37" t="s">
        <v>196</v>
      </c>
    </row>
    <row r="6">
      <c r="A6" s="39" t="s">
        <v>197</v>
      </c>
      <c r="B6" s="40">
        <v>49.0</v>
      </c>
      <c r="C6" s="37" t="s">
        <v>198</v>
      </c>
    </row>
    <row r="7">
      <c r="A7" s="39" t="s">
        <v>199</v>
      </c>
      <c r="B7" s="40">
        <v>99.0</v>
      </c>
      <c r="C7" s="37" t="s">
        <v>200</v>
      </c>
    </row>
    <row r="8">
      <c r="A8" s="39" t="s">
        <v>201</v>
      </c>
      <c r="B8" s="41">
        <v>0.08</v>
      </c>
      <c r="C8" s="37" t="s">
        <v>202</v>
      </c>
    </row>
    <row r="9">
      <c r="A9" s="39" t="s">
        <v>203</v>
      </c>
      <c r="B9" s="41">
        <v>0.52</v>
      </c>
      <c r="C9" s="37" t="s">
        <v>204</v>
      </c>
    </row>
    <row r="10">
      <c r="A10" s="39" t="s">
        <v>205</v>
      </c>
      <c r="B10" s="41">
        <v>0.38</v>
      </c>
      <c r="C10" s="37" t="s">
        <v>206</v>
      </c>
    </row>
    <row r="11">
      <c r="A11" s="39" t="s">
        <v>207</v>
      </c>
      <c r="B11" s="41">
        <v>0.1</v>
      </c>
      <c r="C11" s="37" t="s">
        <v>208</v>
      </c>
    </row>
    <row r="13">
      <c r="A13" s="13" t="s">
        <v>209</v>
      </c>
      <c r="B13" s="38"/>
      <c r="C13" s="38"/>
    </row>
    <row r="14">
      <c r="A14" s="39" t="s">
        <v>210</v>
      </c>
      <c r="B14" s="40">
        <v>0.0</v>
      </c>
      <c r="C14" s="37" t="s">
        <v>211</v>
      </c>
    </row>
    <row r="15">
      <c r="A15" s="39" t="s">
        <v>212</v>
      </c>
      <c r="B15" s="40">
        <v>15.0</v>
      </c>
      <c r="C15" s="37" t="s">
        <v>213</v>
      </c>
    </row>
    <row r="16">
      <c r="A16" s="39" t="s">
        <v>214</v>
      </c>
      <c r="B16" s="40">
        <v>22.0</v>
      </c>
      <c r="C16" s="37" t="s">
        <v>215</v>
      </c>
    </row>
    <row r="17">
      <c r="A17" s="39" t="s">
        <v>216</v>
      </c>
      <c r="B17" s="40">
        <v>28.0</v>
      </c>
      <c r="C17" s="37" t="s">
        <v>217</v>
      </c>
    </row>
    <row r="18">
      <c r="A18" s="39" t="s">
        <v>218</v>
      </c>
      <c r="B18" s="40">
        <v>32.0</v>
      </c>
      <c r="C18" s="37" t="s">
        <v>219</v>
      </c>
    </row>
    <row r="19">
      <c r="A19" s="39" t="s">
        <v>220</v>
      </c>
      <c r="B19" s="40">
        <v>38.0</v>
      </c>
      <c r="C19" s="37" t="s">
        <v>221</v>
      </c>
    </row>
    <row r="21" ht="15.75" customHeight="1">
      <c r="A21" s="13" t="s">
        <v>222</v>
      </c>
      <c r="B21" s="38"/>
      <c r="C21" s="38"/>
    </row>
    <row r="22" ht="15.75" customHeight="1">
      <c r="A22" s="39" t="s">
        <v>223</v>
      </c>
      <c r="B22" s="40">
        <v>49.0</v>
      </c>
      <c r="C22" s="37" t="s">
        <v>224</v>
      </c>
    </row>
    <row r="23" ht="15.75" customHeight="1">
      <c r="A23" s="39" t="s">
        <v>225</v>
      </c>
      <c r="B23" s="40">
        <v>23.5</v>
      </c>
      <c r="C23" s="37" t="s">
        <v>226</v>
      </c>
    </row>
    <row r="24" ht="15.75" customHeight="1">
      <c r="A24" s="39" t="s">
        <v>227</v>
      </c>
      <c r="B24" s="40">
        <v>0.0</v>
      </c>
      <c r="C24" s="37" t="s">
        <v>228</v>
      </c>
    </row>
    <row r="25" ht="15.75" customHeight="1">
      <c r="A25" s="39" t="s">
        <v>229</v>
      </c>
      <c r="B25" s="40">
        <v>0.0</v>
      </c>
      <c r="C25" s="37" t="s">
        <v>230</v>
      </c>
    </row>
    <row r="26" ht="15.75" customHeight="1">
      <c r="A26" s="39" t="s">
        <v>231</v>
      </c>
      <c r="B26" s="40">
        <v>9.67</v>
      </c>
      <c r="C26" s="37" t="s">
        <v>232</v>
      </c>
    </row>
    <row r="27" ht="15.75" customHeight="1">
      <c r="A27" s="39" t="s">
        <v>233</v>
      </c>
      <c r="B27" s="41">
        <v>0.35</v>
      </c>
      <c r="C27" s="37" t="s">
        <v>234</v>
      </c>
    </row>
    <row r="28" ht="15.75" customHeight="1">
      <c r="A28" s="39" t="s">
        <v>235</v>
      </c>
      <c r="B28" s="40">
        <v>35.0</v>
      </c>
      <c r="C28" s="37" t="s">
        <v>236</v>
      </c>
    </row>
    <row r="29" ht="15.75" customHeight="1">
      <c r="A29" s="39" t="s">
        <v>237</v>
      </c>
      <c r="B29" s="40">
        <v>250.0</v>
      </c>
      <c r="C29" s="37" t="s">
        <v>238</v>
      </c>
    </row>
    <row r="30" ht="15.75" customHeight="1">
      <c r="A30" s="39" t="s">
        <v>239</v>
      </c>
      <c r="B30" s="41">
        <v>0.07</v>
      </c>
      <c r="C30" s="37" t="s">
        <v>240</v>
      </c>
    </row>
    <row r="31" ht="15.75" customHeight="1">
      <c r="A31" s="39" t="s">
        <v>241</v>
      </c>
      <c r="B31" s="40">
        <v>99.0</v>
      </c>
      <c r="C31" s="37" t="s">
        <v>242</v>
      </c>
    </row>
    <row r="32" ht="15.75" customHeight="1">
      <c r="A32" s="39" t="s">
        <v>243</v>
      </c>
      <c r="B32" s="40">
        <v>25.0</v>
      </c>
      <c r="C32" s="37" t="s">
        <v>244</v>
      </c>
    </row>
    <row r="33" ht="15.75" customHeight="1">
      <c r="A33" s="39" t="s">
        <v>245</v>
      </c>
      <c r="B33" s="40">
        <v>20.0</v>
      </c>
      <c r="C33" s="37" t="s">
        <v>246</v>
      </c>
    </row>
    <row r="34" ht="15.75" customHeight="1"/>
    <row r="35" ht="15.75" customHeight="1">
      <c r="A35" s="13" t="s">
        <v>247</v>
      </c>
      <c r="B35" s="38"/>
      <c r="C35" s="38"/>
    </row>
    <row r="36" ht="15.75" customHeight="1">
      <c r="A36" s="39" t="s">
        <v>248</v>
      </c>
      <c r="B36" s="42">
        <v>0.055</v>
      </c>
      <c r="C36" s="37" t="s">
        <v>249</v>
      </c>
    </row>
    <row r="37" ht="15.75" customHeight="1">
      <c r="A37" s="39" t="s">
        <v>250</v>
      </c>
      <c r="B37" s="40">
        <v>2.5</v>
      </c>
      <c r="C37" s="37" t="s">
        <v>251</v>
      </c>
    </row>
    <row r="38" ht="15.75" customHeight="1">
      <c r="A38" s="39" t="s">
        <v>252</v>
      </c>
      <c r="B38" s="42">
        <v>0.029</v>
      </c>
      <c r="C38" s="37" t="s">
        <v>253</v>
      </c>
    </row>
    <row r="39" ht="15.75" customHeight="1">
      <c r="A39" s="39" t="s">
        <v>254</v>
      </c>
      <c r="B39" s="40">
        <v>0.35</v>
      </c>
      <c r="C39" s="37" t="s">
        <v>255</v>
      </c>
    </row>
    <row r="40" ht="15.75" customHeight="1">
      <c r="A40" s="39" t="s">
        <v>256</v>
      </c>
      <c r="B40" s="42">
        <v>0.015</v>
      </c>
      <c r="C40" s="37" t="s">
        <v>257</v>
      </c>
    </row>
    <row r="41" ht="15.75" customHeight="1">
      <c r="A41" s="39" t="s">
        <v>258</v>
      </c>
      <c r="B41" s="42">
        <v>0.005</v>
      </c>
      <c r="C41" s="37" t="s">
        <v>259</v>
      </c>
    </row>
    <row r="42" ht="15.75" customHeight="1"/>
    <row r="43" ht="15.75" customHeight="1">
      <c r="A43" s="13" t="s">
        <v>260</v>
      </c>
      <c r="B43" s="38"/>
      <c r="C43" s="38"/>
    </row>
    <row r="44" ht="15.75" customHeight="1">
      <c r="A44" s="39" t="s">
        <v>261</v>
      </c>
      <c r="B44" s="40">
        <v>4166.0</v>
      </c>
      <c r="C44" s="37" t="s">
        <v>262</v>
      </c>
    </row>
    <row r="45" ht="15.75" customHeight="1">
      <c r="A45" s="39" t="s">
        <v>263</v>
      </c>
      <c r="B45" s="40">
        <v>1.25</v>
      </c>
      <c r="C45" s="37" t="s">
        <v>264</v>
      </c>
    </row>
    <row r="46" ht="15.75" customHeight="1">
      <c r="A46" s="39" t="s">
        <v>265</v>
      </c>
      <c r="B46" s="40">
        <v>1230.0</v>
      </c>
      <c r="C46" s="37" t="s">
        <v>266</v>
      </c>
    </row>
    <row r="47" ht="15.75" customHeight="1">
      <c r="A47" s="39" t="s">
        <v>267</v>
      </c>
      <c r="B47" s="40">
        <v>2000.0</v>
      </c>
      <c r="C47" s="37" t="s">
        <v>268</v>
      </c>
    </row>
    <row r="48" ht="15.75" customHeight="1">
      <c r="A48" s="39" t="s">
        <v>269</v>
      </c>
      <c r="B48" s="40">
        <v>6500.0</v>
      </c>
      <c r="C48" s="37" t="s">
        <v>270</v>
      </c>
    </row>
    <row r="49" ht="15.75" customHeight="1">
      <c r="A49" s="39" t="s">
        <v>271</v>
      </c>
      <c r="B49" s="42">
        <v>0.005</v>
      </c>
      <c r="C49" s="37" t="s">
        <v>272</v>
      </c>
    </row>
    <row r="50" ht="15.75" customHeight="1">
      <c r="A50" s="39" t="s">
        <v>273</v>
      </c>
      <c r="B50" s="42">
        <v>0.049</v>
      </c>
      <c r="C50" s="37" t="s">
        <v>274</v>
      </c>
    </row>
    <row r="51" ht="15.75" customHeight="1">
      <c r="A51" s="39" t="s">
        <v>275</v>
      </c>
      <c r="B51" s="40">
        <v>19000.0</v>
      </c>
      <c r="C51" s="37" t="s">
        <v>276</v>
      </c>
    </row>
    <row r="52" ht="15.75" customHeight="1">
      <c r="A52" s="39" t="s">
        <v>277</v>
      </c>
      <c r="B52" s="40">
        <v>3500.0</v>
      </c>
      <c r="C52" s="37" t="s">
        <v>278</v>
      </c>
    </row>
    <row r="53" ht="15.75" customHeight="1"/>
    <row r="54" ht="15.75" customHeight="1"/>
    <row r="55" ht="15.75" customHeight="1">
      <c r="A55" s="13" t="s">
        <v>279</v>
      </c>
      <c r="B55" s="38"/>
      <c r="C55" s="38"/>
    </row>
    <row r="56" ht="15.75" customHeight="1">
      <c r="A56" s="39" t="s">
        <v>280</v>
      </c>
      <c r="B56" s="40">
        <v>1500.0</v>
      </c>
      <c r="C56" s="37" t="s">
        <v>281</v>
      </c>
    </row>
    <row r="57" ht="15.75" customHeight="1">
      <c r="A57" s="39" t="s">
        <v>282</v>
      </c>
      <c r="B57" s="40">
        <v>210.0</v>
      </c>
      <c r="C57" s="37" t="s">
        <v>283</v>
      </c>
    </row>
    <row r="58" ht="15.75" customHeight="1">
      <c r="A58" s="39" t="s">
        <v>284</v>
      </c>
      <c r="B58" s="40">
        <v>338.0</v>
      </c>
      <c r="C58" s="37" t="s">
        <v>285</v>
      </c>
    </row>
    <row r="59" ht="15.75" customHeight="1">
      <c r="A59" s="39" t="s">
        <v>286</v>
      </c>
      <c r="B59" s="40">
        <v>500.0</v>
      </c>
      <c r="C59" s="37" t="s">
        <v>287</v>
      </c>
    </row>
    <row r="60" ht="15.75" customHeight="1">
      <c r="A60" s="39" t="s">
        <v>288</v>
      </c>
      <c r="B60" s="40">
        <v>750.0</v>
      </c>
      <c r="C60" s="37" t="s">
        <v>289</v>
      </c>
    </row>
    <row r="61" ht="15.75" customHeight="1">
      <c r="A61" s="39" t="s">
        <v>290</v>
      </c>
      <c r="B61" s="40">
        <v>750.0</v>
      </c>
      <c r="C61" s="37" t="s">
        <v>291</v>
      </c>
    </row>
    <row r="62" ht="15.75" customHeight="1">
      <c r="A62" s="39" t="s">
        <v>292</v>
      </c>
      <c r="B62" s="40">
        <v>1500.0</v>
      </c>
      <c r="C62" s="37" t="s">
        <v>293</v>
      </c>
    </row>
    <row r="63" ht="15.75" customHeight="1">
      <c r="A63" s="39" t="s">
        <v>294</v>
      </c>
      <c r="B63" s="40">
        <v>0.0</v>
      </c>
      <c r="C63" s="37" t="s">
        <v>295</v>
      </c>
    </row>
    <row r="64" ht="15.75" customHeight="1">
      <c r="A64" s="39" t="s">
        <v>296</v>
      </c>
      <c r="B64" s="40">
        <v>400.0</v>
      </c>
      <c r="C64" s="37" t="s">
        <v>297</v>
      </c>
    </row>
    <row r="65" ht="15.75" customHeight="1">
      <c r="A65" s="39" t="s">
        <v>298</v>
      </c>
      <c r="B65" s="40">
        <v>200.0</v>
      </c>
      <c r="C65" s="37" t="s">
        <v>299</v>
      </c>
    </row>
    <row r="66" ht="15.75" customHeight="1">
      <c r="A66" s="39" t="s">
        <v>300</v>
      </c>
      <c r="B66" s="40">
        <v>100.0</v>
      </c>
      <c r="C66" s="37" t="s">
        <v>301</v>
      </c>
    </row>
    <row r="67" ht="15.75" customHeight="1">
      <c r="A67" s="39" t="s">
        <v>302</v>
      </c>
      <c r="B67" s="40">
        <v>150.0</v>
      </c>
      <c r="C67" s="37" t="s">
        <v>303</v>
      </c>
    </row>
    <row r="68" ht="15.75" customHeight="1">
      <c r="A68" s="39" t="s">
        <v>304</v>
      </c>
      <c r="B68" s="40">
        <v>100.0</v>
      </c>
      <c r="C68" s="37" t="s">
        <v>305</v>
      </c>
    </row>
    <row r="69" ht="15.75" customHeight="1">
      <c r="A69" s="39" t="s">
        <v>306</v>
      </c>
      <c r="B69" s="40">
        <v>100.0</v>
      </c>
      <c r="C69" s="37" t="s">
        <v>307</v>
      </c>
    </row>
    <row r="70" ht="15.75" customHeight="1">
      <c r="A70" s="39" t="s">
        <v>308</v>
      </c>
      <c r="B70" s="40">
        <v>500.0</v>
      </c>
      <c r="C70" s="37" t="s">
        <v>309</v>
      </c>
    </row>
    <row r="71" ht="15.75" customHeight="1">
      <c r="A71" s="39" t="s">
        <v>310</v>
      </c>
      <c r="B71" s="40">
        <v>300.0</v>
      </c>
      <c r="C71" s="37" t="s">
        <v>311</v>
      </c>
    </row>
    <row r="72" ht="15.75" customHeight="1">
      <c r="A72" s="39" t="s">
        <v>312</v>
      </c>
      <c r="B72" s="40">
        <v>200.0</v>
      </c>
      <c r="C72" s="37" t="s">
        <v>313</v>
      </c>
    </row>
    <row r="73" ht="15.75" customHeight="1">
      <c r="A73" s="39" t="s">
        <v>314</v>
      </c>
      <c r="B73" s="40">
        <v>120.0</v>
      </c>
      <c r="C73" s="37" t="s">
        <v>315</v>
      </c>
    </row>
    <row r="74" ht="15.75" customHeight="1">
      <c r="A74" s="39" t="s">
        <v>316</v>
      </c>
      <c r="B74" s="40">
        <v>50.0</v>
      </c>
      <c r="C74" s="37" t="s">
        <v>317</v>
      </c>
    </row>
    <row r="75" ht="15.75" customHeight="1">
      <c r="A75" s="39" t="s">
        <v>318</v>
      </c>
      <c r="B75" s="40">
        <v>39.0</v>
      </c>
      <c r="C75" s="37" t="s">
        <v>319</v>
      </c>
    </row>
    <row r="76" ht="15.75" customHeight="1">
      <c r="A76" s="39" t="s">
        <v>320</v>
      </c>
      <c r="B76" s="40">
        <v>400.0</v>
      </c>
      <c r="C76" s="37" t="s">
        <v>321</v>
      </c>
    </row>
    <row r="77" ht="15.75" customHeight="1">
      <c r="A77" s="39" t="s">
        <v>322</v>
      </c>
      <c r="B77" s="40">
        <v>25.0</v>
      </c>
      <c r="C77" s="37" t="s">
        <v>323</v>
      </c>
    </row>
    <row r="78" ht="15.75" customHeight="1">
      <c r="A78" s="39" t="s">
        <v>324</v>
      </c>
      <c r="B78" s="40">
        <v>80.0</v>
      </c>
      <c r="C78" s="37" t="s">
        <v>325</v>
      </c>
    </row>
    <row r="79" ht="15.75" customHeight="1">
      <c r="A79" s="39" t="s">
        <v>326</v>
      </c>
      <c r="B79" s="40">
        <v>10.0</v>
      </c>
      <c r="C79" s="37" t="s">
        <v>327</v>
      </c>
    </row>
    <row r="80" ht="15.75" customHeight="1">
      <c r="A80" s="39" t="s">
        <v>328</v>
      </c>
      <c r="B80" s="40">
        <v>35.0</v>
      </c>
      <c r="C80" s="37" t="s">
        <v>329</v>
      </c>
    </row>
    <row r="81" ht="15.75" customHeight="1">
      <c r="A81" s="39" t="s">
        <v>330</v>
      </c>
      <c r="B81" s="40">
        <v>6.0</v>
      </c>
      <c r="C81" s="37" t="s">
        <v>331</v>
      </c>
    </row>
    <row r="82" ht="15.75" customHeight="1">
      <c r="A82" s="39" t="s">
        <v>332</v>
      </c>
      <c r="B82" s="40">
        <v>6.0</v>
      </c>
      <c r="C82" s="37" t="s">
        <v>333</v>
      </c>
    </row>
    <row r="83" ht="15.75" customHeight="1"/>
    <row r="84" ht="15.75" customHeight="1"/>
    <row r="85" ht="15.75" customHeight="1">
      <c r="A85" s="13" t="s">
        <v>334</v>
      </c>
      <c r="B85" s="38"/>
      <c r="C85" s="38"/>
    </row>
    <row r="86" ht="15.75" customHeight="1">
      <c r="A86" s="39" t="s">
        <v>335</v>
      </c>
      <c r="B86" s="40">
        <v>150.0</v>
      </c>
      <c r="C86" s="37" t="s">
        <v>336</v>
      </c>
    </row>
    <row r="87" ht="15.75" customHeight="1">
      <c r="A87" s="39" t="s">
        <v>337</v>
      </c>
      <c r="B87" s="40">
        <v>200.0</v>
      </c>
      <c r="C87" s="37" t="s">
        <v>338</v>
      </c>
    </row>
    <row r="88" ht="15.75" customHeight="1">
      <c r="A88" s="39" t="s">
        <v>339</v>
      </c>
      <c r="B88" s="40">
        <v>150.0</v>
      </c>
      <c r="C88" s="37" t="s">
        <v>340</v>
      </c>
    </row>
    <row r="89" ht="15.75" customHeight="1">
      <c r="A89" s="39" t="s">
        <v>341</v>
      </c>
      <c r="B89" s="40">
        <v>100.0</v>
      </c>
      <c r="C89" s="37" t="s">
        <v>342</v>
      </c>
    </row>
    <row r="90" ht="15.75" customHeight="1">
      <c r="A90" s="39" t="s">
        <v>343</v>
      </c>
      <c r="B90" s="40">
        <v>50.0</v>
      </c>
      <c r="C90" s="37" t="s">
        <v>344</v>
      </c>
    </row>
    <row r="91" ht="15.75" customHeight="1"/>
    <row r="92" ht="15.75" customHeight="1">
      <c r="A92" s="13" t="s">
        <v>345</v>
      </c>
      <c r="B92" s="38"/>
      <c r="C92" s="38"/>
    </row>
    <row r="93" ht="15.75" customHeight="1">
      <c r="A93" s="39" t="s">
        <v>346</v>
      </c>
      <c r="B93" s="41">
        <v>0.1</v>
      </c>
      <c r="C93" s="37" t="s">
        <v>347</v>
      </c>
    </row>
    <row r="94" ht="15.75" customHeight="1">
      <c r="A94" s="39" t="s">
        <v>348</v>
      </c>
      <c r="B94" s="40">
        <v>35.0</v>
      </c>
      <c r="C94" s="37" t="s">
        <v>349</v>
      </c>
    </row>
    <row r="95" ht="15.75" customHeight="1"/>
    <row r="96" ht="15.75" customHeight="1">
      <c r="A96" s="13" t="s">
        <v>350</v>
      </c>
      <c r="B96" s="38"/>
      <c r="C96" s="38"/>
    </row>
    <row r="97" ht="15.75" customHeight="1">
      <c r="A97" s="39" t="s">
        <v>351</v>
      </c>
      <c r="B97" s="43">
        <v>0.1435</v>
      </c>
      <c r="C97" s="37" t="s">
        <v>352</v>
      </c>
    </row>
    <row r="98" ht="15.75" customHeight="1">
      <c r="A98" s="39" t="s">
        <v>353</v>
      </c>
      <c r="B98" s="44">
        <v>0.15825</v>
      </c>
      <c r="C98" s="37" t="s">
        <v>354</v>
      </c>
    </row>
    <row r="99" ht="15.75" customHeight="1">
      <c r="A99" s="39" t="s">
        <v>355</v>
      </c>
      <c r="B99" s="41">
        <v>0.3</v>
      </c>
      <c r="C99" s="37" t="s">
        <v>356</v>
      </c>
    </row>
    <row r="100" ht="15.75" customHeight="1"/>
    <row r="101" ht="15.75" customHeight="1">
      <c r="A101" s="13" t="s">
        <v>357</v>
      </c>
      <c r="B101" s="38"/>
      <c r="C101" s="38"/>
    </row>
    <row r="102" ht="15.75" customHeight="1">
      <c r="A102" s="39" t="s">
        <v>358</v>
      </c>
      <c r="B102" s="40">
        <v>2500.0</v>
      </c>
      <c r="C102" s="37" t="s">
        <v>359</v>
      </c>
    </row>
    <row r="103" ht="15.75" customHeight="1">
      <c r="A103" s="39" t="s">
        <v>360</v>
      </c>
      <c r="B103" s="40">
        <v>3500.0</v>
      </c>
      <c r="C103" s="37" t="s">
        <v>361</v>
      </c>
    </row>
    <row r="104" ht="15.75" customHeight="1">
      <c r="A104" s="39" t="s">
        <v>362</v>
      </c>
      <c r="B104" s="40">
        <v>5000.0</v>
      </c>
      <c r="C104" s="37" t="s">
        <v>363</v>
      </c>
    </row>
    <row r="105" ht="15.75" customHeight="1">
      <c r="A105" s="39" t="s">
        <v>364</v>
      </c>
      <c r="B105" s="40">
        <v>7500.0</v>
      </c>
      <c r="C105" s="37" t="s">
        <v>365</v>
      </c>
    </row>
    <row r="106" ht="15.75" customHeight="1">
      <c r="A106" s="39" t="s">
        <v>366</v>
      </c>
      <c r="B106" s="40">
        <v>7500.0</v>
      </c>
      <c r="C106" s="37" t="s">
        <v>367</v>
      </c>
    </row>
    <row r="107" ht="15.75" customHeight="1">
      <c r="A107" s="39" t="s">
        <v>368</v>
      </c>
      <c r="B107" s="40">
        <v>5000.0</v>
      </c>
      <c r="C107" s="37" t="s">
        <v>369</v>
      </c>
    </row>
    <row r="108" ht="15.75" customHeight="1">
      <c r="A108" s="39" t="s">
        <v>370</v>
      </c>
      <c r="B108" s="40">
        <v>15000.0</v>
      </c>
      <c r="C108" s="37" t="s">
        <v>371</v>
      </c>
    </row>
    <row r="109" ht="15.75" customHeight="1">
      <c r="A109" s="39" t="s">
        <v>372</v>
      </c>
      <c r="B109" s="40">
        <v>25000.0</v>
      </c>
      <c r="C109" s="37" t="s">
        <v>373</v>
      </c>
    </row>
    <row r="110" ht="15.75" customHeight="1">
      <c r="A110" s="39" t="s">
        <v>374</v>
      </c>
      <c r="B110" s="40">
        <v>20000.0</v>
      </c>
      <c r="C110" s="37" t="s">
        <v>375</v>
      </c>
    </row>
    <row r="111" ht="15.75" customHeight="1">
      <c r="A111" s="39" t="s">
        <v>376</v>
      </c>
      <c r="B111" s="40">
        <v>5000.0</v>
      </c>
      <c r="C111" s="37" t="s">
        <v>377</v>
      </c>
    </row>
    <row r="112" ht="15.75" customHeight="1">
      <c r="A112" s="39" t="s">
        <v>378</v>
      </c>
      <c r="B112" s="40">
        <v>300.0</v>
      </c>
      <c r="C112" s="37" t="s">
        <v>379</v>
      </c>
    </row>
    <row r="113" ht="15.75" customHeight="1">
      <c r="A113" s="39" t="s">
        <v>380</v>
      </c>
      <c r="B113" s="40">
        <v>500.0</v>
      </c>
      <c r="C113" s="37" t="s">
        <v>381</v>
      </c>
    </row>
    <row r="114" ht="15.75" customHeight="1">
      <c r="A114" s="39" t="s">
        <v>382</v>
      </c>
      <c r="B114" s="40">
        <v>1000.0</v>
      </c>
      <c r="C114" s="37" t="s">
        <v>383</v>
      </c>
    </row>
    <row r="115" ht="15.75" customHeight="1">
      <c r="A115" s="39" t="s">
        <v>384</v>
      </c>
      <c r="B115" s="40">
        <v>60.0</v>
      </c>
      <c r="C115" s="37" t="s">
        <v>385</v>
      </c>
    </row>
    <row r="116" ht="15.75" customHeight="1">
      <c r="A116" s="39" t="s">
        <v>386</v>
      </c>
      <c r="B116" s="40">
        <v>500.0</v>
      </c>
      <c r="C116" s="37" t="s">
        <v>387</v>
      </c>
    </row>
    <row r="117" ht="15.75" customHeight="1">
      <c r="A117" s="39" t="s">
        <v>388</v>
      </c>
      <c r="B117" s="40">
        <v>50000.0</v>
      </c>
      <c r="C117" s="37" t="s">
        <v>389</v>
      </c>
    </row>
    <row r="118" ht="15.75" customHeight="1">
      <c r="A118" s="39" t="s">
        <v>390</v>
      </c>
      <c r="B118" s="40">
        <v>7500.0</v>
      </c>
      <c r="C118" s="37" t="s">
        <v>391</v>
      </c>
    </row>
    <row r="119" ht="15.75" customHeight="1">
      <c r="A119" s="39" t="s">
        <v>392</v>
      </c>
      <c r="B119" s="40">
        <v>36.0</v>
      </c>
      <c r="C119" s="37" t="s">
        <v>393</v>
      </c>
    </row>
    <row r="120" ht="15.75" customHeight="1">
      <c r="A120" s="13" t="s">
        <v>394</v>
      </c>
      <c r="B120" s="38"/>
      <c r="C120" s="38"/>
    </row>
    <row r="121" ht="15.75" customHeight="1">
      <c r="A121" s="39" t="s">
        <v>395</v>
      </c>
      <c r="B121" s="40">
        <v>1.3</v>
      </c>
      <c r="C121" s="37" t="s">
        <v>396</v>
      </c>
    </row>
    <row r="122" ht="15.75" customHeight="1">
      <c r="A122" s="39" t="s">
        <v>397</v>
      </c>
      <c r="B122" s="40">
        <v>0.75</v>
      </c>
      <c r="C122" s="37" t="s">
        <v>398</v>
      </c>
    </row>
    <row r="123" ht="15.75" customHeight="1">
      <c r="A123" s="39" t="s">
        <v>399</v>
      </c>
      <c r="B123" s="40">
        <v>0.6</v>
      </c>
      <c r="C123" s="37" t="s">
        <v>400</v>
      </c>
    </row>
    <row r="124" ht="15.75" customHeight="1">
      <c r="A124" s="39" t="s">
        <v>401</v>
      </c>
      <c r="B124" s="40">
        <v>1.5</v>
      </c>
      <c r="C124" s="37" t="s">
        <v>402</v>
      </c>
    </row>
    <row r="125" ht="15.75" customHeight="1">
      <c r="A125" s="39" t="s">
        <v>403</v>
      </c>
      <c r="B125" s="40">
        <v>2.0</v>
      </c>
      <c r="C125" s="37" t="s">
        <v>404</v>
      </c>
    </row>
    <row r="126" ht="15.75" customHeight="1"/>
    <row r="127" ht="15.75" customHeight="1">
      <c r="A127" s="13" t="s">
        <v>405</v>
      </c>
      <c r="B127" s="38"/>
      <c r="C127" s="38"/>
    </row>
    <row r="128" ht="15.75" customHeight="1">
      <c r="A128" s="39" t="s">
        <v>406</v>
      </c>
      <c r="B128" s="45">
        <v>190.0</v>
      </c>
      <c r="C128" s="37" t="s">
        <v>407</v>
      </c>
    </row>
    <row r="129" ht="15.75" customHeight="1">
      <c r="A129" s="39" t="s">
        <v>408</v>
      </c>
      <c r="B129" s="45">
        <v>490.0</v>
      </c>
      <c r="C129" s="37" t="s">
        <v>407</v>
      </c>
    </row>
    <row r="130" ht="15.75" customHeight="1">
      <c r="A130" s="39" t="s">
        <v>409</v>
      </c>
      <c r="B130" s="45">
        <v>990.0</v>
      </c>
      <c r="C130" s="37" t="s">
        <v>407</v>
      </c>
    </row>
    <row r="131" ht="15.75" customHeight="1">
      <c r="A131" s="39" t="s">
        <v>410</v>
      </c>
      <c r="B131" s="41">
        <v>0.2</v>
      </c>
      <c r="C131" s="37" t="s">
        <v>411</v>
      </c>
    </row>
    <row r="132" ht="15.75" customHeight="1">
      <c r="A132" s="39" t="s">
        <v>412</v>
      </c>
      <c r="B132" s="41">
        <v>0.3</v>
      </c>
      <c r="C132" s="37" t="s">
        <v>413</v>
      </c>
    </row>
    <row r="133" ht="15.75" customHeight="1">
      <c r="A133" s="39" t="s">
        <v>414</v>
      </c>
      <c r="B133" s="40">
        <v>39.0</v>
      </c>
      <c r="C133" s="37" t="s">
        <v>415</v>
      </c>
    </row>
    <row r="134" ht="15.75" customHeight="1">
      <c r="A134" s="39" t="s">
        <v>416</v>
      </c>
      <c r="B134" s="40">
        <v>15.0</v>
      </c>
      <c r="C134" s="37" t="s">
        <v>417</v>
      </c>
    </row>
    <row r="135" ht="15.75" customHeight="1">
      <c r="A135" s="39" t="s">
        <v>418</v>
      </c>
      <c r="B135" s="40">
        <v>441.0</v>
      </c>
      <c r="C135" s="37" t="s">
        <v>419</v>
      </c>
    </row>
    <row r="136" ht="15.75" customHeight="1">
      <c r="A136" s="39" t="s">
        <v>420</v>
      </c>
      <c r="B136" s="46">
        <v>300.0</v>
      </c>
      <c r="C136" s="37" t="s">
        <v>421</v>
      </c>
    </row>
    <row r="137" ht="15.75" customHeight="1">
      <c r="A137" s="39" t="s">
        <v>422</v>
      </c>
      <c r="B137" s="47">
        <v>200.0</v>
      </c>
      <c r="C137" s="37" t="s">
        <v>423</v>
      </c>
    </row>
    <row r="138" ht="15.75" customHeight="1">
      <c r="A138" s="39" t="s">
        <v>424</v>
      </c>
      <c r="B138" s="45">
        <v>1250.0</v>
      </c>
      <c r="C138" s="37" t="s">
        <v>425</v>
      </c>
    </row>
    <row r="139" ht="15.75" customHeight="1">
      <c r="A139" s="39" t="s">
        <v>426</v>
      </c>
      <c r="B139" s="45">
        <v>19000.0</v>
      </c>
      <c r="C139" s="37" t="s">
        <v>427</v>
      </c>
    </row>
    <row r="140" ht="15.75" customHeight="1">
      <c r="A140" s="39" t="s">
        <v>428</v>
      </c>
      <c r="B140" s="45">
        <v>3600.0</v>
      </c>
      <c r="C140" s="37" t="s">
        <v>429</v>
      </c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B9E7C"/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5" width="9.0"/>
    <col customWidth="1" min="26" max="26" width="8.71"/>
  </cols>
  <sheetData>
    <row r="1">
      <c r="A1" s="36" t="s">
        <v>430</v>
      </c>
    </row>
    <row r="2">
      <c r="A2" s="37" t="s">
        <v>431</v>
      </c>
    </row>
    <row r="3">
      <c r="A3" s="6" t="s">
        <v>432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4" t="s">
        <v>17</v>
      </c>
      <c r="P3" s="4" t="s">
        <v>18</v>
      </c>
      <c r="Q3" s="4" t="s">
        <v>19</v>
      </c>
      <c r="R3" s="4" t="s">
        <v>20</v>
      </c>
      <c r="S3" s="4" t="s">
        <v>21</v>
      </c>
      <c r="T3" s="4" t="s">
        <v>22</v>
      </c>
      <c r="U3" s="4" t="s">
        <v>23</v>
      </c>
      <c r="V3" s="4" t="s">
        <v>24</v>
      </c>
      <c r="W3" s="4" t="s">
        <v>25</v>
      </c>
      <c r="X3" s="4" t="s">
        <v>26</v>
      </c>
      <c r="Y3" s="4" t="s">
        <v>27</v>
      </c>
    </row>
    <row r="4">
      <c r="A4" s="48" t="s">
        <v>433</v>
      </c>
      <c r="B4" s="22">
        <v>0.0</v>
      </c>
      <c r="C4" s="22">
        <v>0.0</v>
      </c>
      <c r="D4" s="22">
        <v>0.0</v>
      </c>
      <c r="E4" s="22">
        <v>50.0</v>
      </c>
      <c r="F4" s="22">
        <v>100.0</v>
      </c>
      <c r="G4" s="22">
        <v>150.0</v>
      </c>
      <c r="H4" s="22">
        <v>250.0</v>
      </c>
      <c r="I4" s="22">
        <v>350.0</v>
      </c>
      <c r="J4" s="22">
        <v>450.0</v>
      </c>
      <c r="K4" s="22">
        <v>600.0</v>
      </c>
      <c r="L4" s="22">
        <v>750.0</v>
      </c>
      <c r="M4" s="22">
        <v>900.0</v>
      </c>
      <c r="N4" s="22">
        <v>1100.0</v>
      </c>
      <c r="O4" s="22">
        <v>1300.0</v>
      </c>
      <c r="P4" s="22">
        <v>1500.0</v>
      </c>
      <c r="Q4" s="22">
        <v>1800.0</v>
      </c>
      <c r="R4" s="22">
        <v>2100.0</v>
      </c>
      <c r="S4" s="22">
        <v>2400.0</v>
      </c>
      <c r="T4" s="22">
        <v>2700.0</v>
      </c>
      <c r="U4" s="22">
        <v>3000.0</v>
      </c>
      <c r="V4" s="22">
        <v>3400.0</v>
      </c>
      <c r="W4" s="22">
        <v>3800.0</v>
      </c>
      <c r="X4" s="22">
        <v>4200.0</v>
      </c>
      <c r="Y4" s="22">
        <v>4600.0</v>
      </c>
    </row>
    <row r="5">
      <c r="A5" s="48" t="s">
        <v>434</v>
      </c>
      <c r="B5" s="22">
        <v>0.0</v>
      </c>
      <c r="C5" s="22">
        <v>0.0</v>
      </c>
      <c r="D5" s="22">
        <v>0.0</v>
      </c>
      <c r="E5" s="22">
        <v>10.0</v>
      </c>
      <c r="F5" s="22">
        <v>20.0</v>
      </c>
      <c r="G5" s="22">
        <v>35.0</v>
      </c>
      <c r="H5" s="22">
        <v>50.0</v>
      </c>
      <c r="I5" s="22">
        <v>65.0</v>
      </c>
      <c r="J5" s="22">
        <v>80.0</v>
      </c>
      <c r="K5" s="22">
        <v>100.0</v>
      </c>
      <c r="L5" s="22">
        <v>120.0</v>
      </c>
      <c r="M5" s="22">
        <v>140.0</v>
      </c>
      <c r="N5" s="22">
        <v>160.0</v>
      </c>
      <c r="O5" s="22">
        <v>180.0</v>
      </c>
      <c r="P5" s="22">
        <v>200.0</v>
      </c>
      <c r="Q5" s="22">
        <v>220.0</v>
      </c>
      <c r="R5" s="22">
        <v>240.0</v>
      </c>
      <c r="S5" s="22">
        <v>260.0</v>
      </c>
      <c r="T5" s="22">
        <v>280.0</v>
      </c>
      <c r="U5" s="22">
        <v>300.0</v>
      </c>
      <c r="V5" s="22">
        <v>300.0</v>
      </c>
      <c r="W5" s="22">
        <v>300.0</v>
      </c>
      <c r="X5" s="22">
        <v>300.0</v>
      </c>
      <c r="Y5" s="22">
        <v>300.0</v>
      </c>
    </row>
    <row r="6">
      <c r="A6" s="48" t="s">
        <v>435</v>
      </c>
      <c r="B6" s="22">
        <v>0.0</v>
      </c>
      <c r="C6" s="22">
        <v>0.0</v>
      </c>
      <c r="D6" s="22">
        <v>0.0</v>
      </c>
      <c r="E6" s="22">
        <v>100.0</v>
      </c>
      <c r="F6" s="22">
        <v>150.0</v>
      </c>
      <c r="G6" s="22">
        <v>250.0</v>
      </c>
      <c r="H6" s="22">
        <v>350.0</v>
      </c>
      <c r="I6" s="22">
        <v>450.0</v>
      </c>
      <c r="J6" s="22">
        <v>550.0</v>
      </c>
      <c r="K6" s="22">
        <v>650.0</v>
      </c>
      <c r="L6" s="22">
        <v>750.0</v>
      </c>
      <c r="M6" s="22">
        <v>850.0</v>
      </c>
      <c r="N6" s="22">
        <v>950.0</v>
      </c>
      <c r="O6" s="22">
        <v>1050.0</v>
      </c>
      <c r="P6" s="22">
        <v>1150.0</v>
      </c>
      <c r="Q6" s="22">
        <v>1250.0</v>
      </c>
      <c r="R6" s="22">
        <v>1350.0</v>
      </c>
      <c r="S6" s="22">
        <v>1450.0</v>
      </c>
      <c r="T6" s="22">
        <v>1550.0</v>
      </c>
      <c r="U6" s="22">
        <v>1650.0</v>
      </c>
      <c r="V6" s="22">
        <v>1750.0</v>
      </c>
      <c r="W6" s="22">
        <v>1850.0</v>
      </c>
      <c r="X6" s="22">
        <v>1950.0</v>
      </c>
      <c r="Y6" s="22">
        <v>2000.0</v>
      </c>
    </row>
    <row r="7">
      <c r="A7" s="48" t="s">
        <v>436</v>
      </c>
      <c r="B7" s="22">
        <v>0.0</v>
      </c>
      <c r="C7" s="22">
        <v>0.0</v>
      </c>
      <c r="D7" s="22">
        <v>0.0</v>
      </c>
      <c r="E7" s="22">
        <v>1.0</v>
      </c>
      <c r="F7" s="22">
        <v>1.0</v>
      </c>
      <c r="G7" s="22">
        <v>2.0</v>
      </c>
      <c r="H7" s="22">
        <v>2.0</v>
      </c>
      <c r="I7" s="22">
        <v>3.0</v>
      </c>
      <c r="J7" s="22">
        <v>3.0</v>
      </c>
      <c r="K7" s="22">
        <v>3.0</v>
      </c>
      <c r="L7" s="22">
        <v>3.0</v>
      </c>
      <c r="M7" s="22">
        <v>3.0</v>
      </c>
      <c r="N7" s="22">
        <v>3.0</v>
      </c>
      <c r="O7" s="22">
        <v>3.0</v>
      </c>
      <c r="P7" s="22">
        <v>4.0</v>
      </c>
      <c r="Q7" s="22">
        <v>4.0</v>
      </c>
      <c r="R7" s="22">
        <v>4.0</v>
      </c>
      <c r="S7" s="22">
        <v>4.0</v>
      </c>
      <c r="T7" s="22">
        <v>4.0</v>
      </c>
      <c r="U7" s="22">
        <v>5.0</v>
      </c>
      <c r="V7" s="22">
        <v>5.0</v>
      </c>
      <c r="W7" s="22">
        <v>5.0</v>
      </c>
      <c r="X7" s="22">
        <v>5.0</v>
      </c>
      <c r="Y7" s="22">
        <v>5.0</v>
      </c>
    </row>
    <row r="8">
      <c r="A8" s="48" t="s">
        <v>437</v>
      </c>
      <c r="B8" s="22">
        <v>0.0</v>
      </c>
      <c r="C8" s="22">
        <v>0.0</v>
      </c>
      <c r="D8" s="22">
        <v>0.0</v>
      </c>
      <c r="E8" s="22">
        <v>12.0</v>
      </c>
      <c r="F8" s="22">
        <v>15.0</v>
      </c>
      <c r="G8" s="22">
        <v>15.0</v>
      </c>
      <c r="H8" s="22">
        <v>18.0</v>
      </c>
      <c r="I8" s="22">
        <v>18.0</v>
      </c>
      <c r="J8" s="22">
        <v>18.0</v>
      </c>
      <c r="K8" s="22">
        <v>20.0</v>
      </c>
      <c r="L8" s="22">
        <v>20.0</v>
      </c>
      <c r="M8" s="22">
        <v>20.0</v>
      </c>
      <c r="N8" s="22">
        <v>22.0</v>
      </c>
      <c r="O8" s="22">
        <v>22.0</v>
      </c>
      <c r="P8" s="22">
        <v>22.0</v>
      </c>
      <c r="Q8" s="22">
        <v>22.0</v>
      </c>
      <c r="R8" s="22">
        <v>24.0</v>
      </c>
      <c r="S8" s="22">
        <v>24.0</v>
      </c>
      <c r="T8" s="22">
        <v>25.0</v>
      </c>
      <c r="U8" s="22">
        <v>25.0</v>
      </c>
      <c r="V8" s="22">
        <v>25.0</v>
      </c>
      <c r="W8" s="22">
        <v>25.0</v>
      </c>
      <c r="X8" s="22">
        <v>25.0</v>
      </c>
      <c r="Y8" s="22">
        <v>25.0</v>
      </c>
    </row>
    <row r="9">
      <c r="A9" s="48" t="s">
        <v>438</v>
      </c>
      <c r="B9" s="22">
        <v>0.0</v>
      </c>
      <c r="C9" s="22">
        <v>0.0</v>
      </c>
      <c r="D9" s="22">
        <v>0.0</v>
      </c>
      <c r="E9" s="22">
        <v>0.0</v>
      </c>
      <c r="F9" s="22">
        <v>0.0</v>
      </c>
      <c r="G9" s="22">
        <v>2.0</v>
      </c>
      <c r="H9" s="22">
        <v>5.0</v>
      </c>
      <c r="I9" s="22">
        <v>8.0</v>
      </c>
      <c r="J9" s="22">
        <v>10.0</v>
      </c>
      <c r="K9" s="22">
        <v>12.0</v>
      </c>
      <c r="L9" s="22">
        <v>15.0</v>
      </c>
      <c r="M9" s="22">
        <v>17.0</v>
      </c>
      <c r="N9" s="22">
        <v>18.0</v>
      </c>
      <c r="O9" s="22">
        <v>19.0</v>
      </c>
      <c r="P9" s="22">
        <v>20.0</v>
      </c>
      <c r="Q9" s="22">
        <v>20.0</v>
      </c>
      <c r="R9" s="22">
        <v>20.0</v>
      </c>
      <c r="S9" s="22">
        <v>20.0</v>
      </c>
      <c r="T9" s="22">
        <v>20.0</v>
      </c>
      <c r="U9" s="22">
        <v>20.0</v>
      </c>
      <c r="V9" s="22">
        <v>20.0</v>
      </c>
      <c r="W9" s="22">
        <v>20.0</v>
      </c>
      <c r="X9" s="22">
        <v>20.0</v>
      </c>
      <c r="Y9" s="22">
        <v>20.0</v>
      </c>
    </row>
    <row r="10">
      <c r="A10" s="48" t="s">
        <v>439</v>
      </c>
      <c r="B10" s="22">
        <v>50.0</v>
      </c>
      <c r="C10" s="22">
        <v>50.0</v>
      </c>
      <c r="D10" s="22">
        <v>100.0</v>
      </c>
      <c r="E10" s="22">
        <v>200.0</v>
      </c>
      <c r="F10" s="22">
        <v>400.0</v>
      </c>
      <c r="G10" s="22">
        <v>600.0</v>
      </c>
      <c r="H10" s="22">
        <v>800.0</v>
      </c>
      <c r="I10" s="22">
        <v>800.0</v>
      </c>
      <c r="J10" s="22">
        <v>1000.0</v>
      </c>
      <c r="K10" s="22">
        <v>1200.0</v>
      </c>
      <c r="L10" s="22">
        <v>1400.0</v>
      </c>
      <c r="M10" s="22">
        <v>1400.0</v>
      </c>
      <c r="N10" s="22">
        <v>1800.0</v>
      </c>
      <c r="O10" s="22">
        <v>1800.0</v>
      </c>
      <c r="P10" s="22">
        <v>2000.0</v>
      </c>
      <c r="Q10" s="22">
        <v>2000.0</v>
      </c>
      <c r="R10" s="22">
        <v>2200.0</v>
      </c>
      <c r="S10" s="22">
        <v>2200.0</v>
      </c>
      <c r="T10" s="22">
        <v>2500.0</v>
      </c>
      <c r="U10" s="22">
        <v>2500.0</v>
      </c>
      <c r="V10" s="22">
        <v>2800.0</v>
      </c>
      <c r="W10" s="22">
        <v>2800.0</v>
      </c>
      <c r="X10" s="22">
        <v>3000.0</v>
      </c>
      <c r="Y10" s="22">
        <v>3000.0</v>
      </c>
    </row>
    <row r="11">
      <c r="A11" s="48" t="s">
        <v>440</v>
      </c>
      <c r="B11" s="22">
        <v>500.0</v>
      </c>
      <c r="C11" s="22">
        <v>500.0</v>
      </c>
      <c r="D11" s="22">
        <v>500.0</v>
      </c>
      <c r="E11" s="22">
        <v>500.0</v>
      </c>
      <c r="F11" s="22">
        <v>800.0</v>
      </c>
      <c r="G11" s="22">
        <v>800.0</v>
      </c>
      <c r="H11" s="22">
        <v>800.0</v>
      </c>
      <c r="I11" s="22">
        <v>800.0</v>
      </c>
      <c r="J11" s="22">
        <v>800.0</v>
      </c>
      <c r="K11" s="22">
        <v>800.0</v>
      </c>
      <c r="L11" s="22">
        <v>800.0</v>
      </c>
      <c r="M11" s="22">
        <v>800.0</v>
      </c>
      <c r="N11" s="22">
        <v>800.0</v>
      </c>
      <c r="O11" s="22">
        <v>800.0</v>
      </c>
      <c r="P11" s="22">
        <v>800.0</v>
      </c>
      <c r="Q11" s="22">
        <v>800.0</v>
      </c>
      <c r="R11" s="22">
        <v>800.0</v>
      </c>
      <c r="S11" s="22">
        <v>800.0</v>
      </c>
      <c r="T11" s="22">
        <v>800.0</v>
      </c>
      <c r="U11" s="22">
        <v>800.0</v>
      </c>
      <c r="V11" s="22">
        <v>800.0</v>
      </c>
      <c r="W11" s="22">
        <v>800.0</v>
      </c>
      <c r="X11" s="22">
        <v>800.0</v>
      </c>
      <c r="Y11" s="22">
        <v>800.0</v>
      </c>
    </row>
    <row r="12">
      <c r="A12" s="49" t="s">
        <v>441</v>
      </c>
      <c r="B12" s="49">
        <v>0.0</v>
      </c>
      <c r="C12" s="30">
        <f t="shared" ref="C12:Y12" si="1">MAX(0,C9-B9)</f>
        <v>0</v>
      </c>
      <c r="D12" s="30">
        <f t="shared" si="1"/>
        <v>0</v>
      </c>
      <c r="E12" s="30">
        <f t="shared" si="1"/>
        <v>0</v>
      </c>
      <c r="F12" s="30">
        <f t="shared" si="1"/>
        <v>0</v>
      </c>
      <c r="G12" s="30">
        <f t="shared" si="1"/>
        <v>2</v>
      </c>
      <c r="H12" s="30">
        <f t="shared" si="1"/>
        <v>3</v>
      </c>
      <c r="I12" s="30">
        <f t="shared" si="1"/>
        <v>3</v>
      </c>
      <c r="J12" s="30">
        <f t="shared" si="1"/>
        <v>2</v>
      </c>
      <c r="K12" s="30">
        <f t="shared" si="1"/>
        <v>2</v>
      </c>
      <c r="L12" s="30">
        <f t="shared" si="1"/>
        <v>3</v>
      </c>
      <c r="M12" s="30">
        <f t="shared" si="1"/>
        <v>2</v>
      </c>
      <c r="N12" s="30">
        <f t="shared" si="1"/>
        <v>1</v>
      </c>
      <c r="O12" s="30">
        <f t="shared" si="1"/>
        <v>1</v>
      </c>
      <c r="P12" s="30">
        <f t="shared" si="1"/>
        <v>1</v>
      </c>
      <c r="Q12" s="30">
        <f t="shared" si="1"/>
        <v>0</v>
      </c>
      <c r="R12" s="30">
        <f t="shared" si="1"/>
        <v>0</v>
      </c>
      <c r="S12" s="30">
        <f t="shared" si="1"/>
        <v>0</v>
      </c>
      <c r="T12" s="30">
        <f t="shared" si="1"/>
        <v>0</v>
      </c>
      <c r="U12" s="30">
        <f t="shared" si="1"/>
        <v>0</v>
      </c>
      <c r="V12" s="30">
        <f t="shared" si="1"/>
        <v>0</v>
      </c>
      <c r="W12" s="30">
        <f t="shared" si="1"/>
        <v>0</v>
      </c>
      <c r="X12" s="30">
        <f t="shared" si="1"/>
        <v>0</v>
      </c>
      <c r="Y12" s="30">
        <f t="shared" si="1"/>
        <v>0</v>
      </c>
    </row>
    <row r="14">
      <c r="A14" s="13" t="s">
        <v>442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</row>
    <row r="15">
      <c r="A15" s="49" t="s">
        <v>443</v>
      </c>
      <c r="B15" s="30">
        <f>IF(1&lt;=3,Assumptions!B14,IF(1&lt;=6,Assumptions!B15,IF(1&lt;=9,Assumptions!B16,IF(1&lt;=12,Assumptions!B17,IF(1&lt;=18,Assumptions!B18,Assumptions!B19)))))</f>
        <v>0</v>
      </c>
      <c r="C15" s="30">
        <f>IF(2&lt;=3,Assumptions!B14,IF(2&lt;=6,Assumptions!B15,IF(2&lt;=9,Assumptions!B16,IF(2&lt;=12,Assumptions!B17,IF(2&lt;=18,Assumptions!B18,Assumptions!B19)))))</f>
        <v>0</v>
      </c>
      <c r="D15" s="30">
        <f>IF(3&lt;=3,Assumptions!B14,IF(3&lt;=6,Assumptions!B15,IF(3&lt;=9,Assumptions!B16,IF(3&lt;=12,Assumptions!B17,IF(3&lt;=18,Assumptions!B18,Assumptions!B19)))))</f>
        <v>0</v>
      </c>
      <c r="E15" s="30">
        <f>IF(4&lt;=3,Assumptions!B14,IF(4&lt;=6,Assumptions!B15,IF(4&lt;=9,Assumptions!B16,IF(4&lt;=12,Assumptions!B17,IF(4&lt;=18,Assumptions!B18,Assumptions!B19)))))</f>
        <v>15</v>
      </c>
      <c r="F15" s="30">
        <f>IF(5&lt;=3,Assumptions!B14,IF(5&lt;=6,Assumptions!B15,IF(5&lt;=9,Assumptions!B16,IF(5&lt;=12,Assumptions!B17,IF(5&lt;=18,Assumptions!B18,Assumptions!B19)))))</f>
        <v>15</v>
      </c>
      <c r="G15" s="30">
        <f>IF(6&lt;=3,Assumptions!B14,IF(6&lt;=6,Assumptions!B15,IF(6&lt;=9,Assumptions!B16,IF(6&lt;=12,Assumptions!B17,IF(6&lt;=18,Assumptions!B18,Assumptions!B19)))))</f>
        <v>15</v>
      </c>
      <c r="H15" s="30">
        <f>IF(7&lt;=3,Assumptions!B14,IF(7&lt;=6,Assumptions!B15,IF(7&lt;=9,Assumptions!B16,IF(7&lt;=12,Assumptions!B17,IF(7&lt;=18,Assumptions!B18,Assumptions!B19)))))</f>
        <v>22</v>
      </c>
      <c r="I15" s="30">
        <f>IF(8&lt;=3,Assumptions!B14,IF(8&lt;=6,Assumptions!B15,IF(8&lt;=9,Assumptions!B16,IF(8&lt;=12,Assumptions!B17,IF(8&lt;=18,Assumptions!B18,Assumptions!B19)))))</f>
        <v>22</v>
      </c>
      <c r="J15" s="30">
        <f>IF(9&lt;=3,Assumptions!B14,IF(9&lt;=6,Assumptions!B15,IF(9&lt;=9,Assumptions!B16,IF(9&lt;=12,Assumptions!B17,IF(9&lt;=18,Assumptions!B18,Assumptions!B19)))))</f>
        <v>22</v>
      </c>
      <c r="K15" s="30">
        <f>IF(10&lt;=3,Assumptions!B14,IF(10&lt;=6,Assumptions!B15,IF(10&lt;=9,Assumptions!B16,IF(10&lt;=12,Assumptions!B17,IF(10&lt;=18,Assumptions!B18,Assumptions!B19)))))</f>
        <v>28</v>
      </c>
      <c r="L15" s="30">
        <f>IF(11&lt;=3,Assumptions!B14,IF(11&lt;=6,Assumptions!B15,IF(11&lt;=9,Assumptions!B16,IF(11&lt;=12,Assumptions!B17,IF(11&lt;=18,Assumptions!B18,Assumptions!B19)))))</f>
        <v>28</v>
      </c>
      <c r="M15" s="30">
        <f>IF(12&lt;=3,Assumptions!B14,IF(12&lt;=6,Assumptions!B15,IF(12&lt;=9,Assumptions!B16,IF(12&lt;=12,Assumptions!B17,IF(12&lt;=18,Assumptions!B18,Assumptions!B19)))))</f>
        <v>28</v>
      </c>
      <c r="N15" s="30">
        <f>IF(13&lt;=3,Assumptions!B14,IF(13&lt;=6,Assumptions!B15,IF(13&lt;=9,Assumptions!B16,IF(13&lt;=12,Assumptions!B17,IF(13&lt;=18,Assumptions!B18,Assumptions!B19)))))</f>
        <v>32</v>
      </c>
      <c r="O15" s="30">
        <f>IF(14&lt;=3,Assumptions!B14,IF(14&lt;=6,Assumptions!B15,IF(14&lt;=9,Assumptions!B16,IF(14&lt;=12,Assumptions!B17,IF(14&lt;=18,Assumptions!B18,Assumptions!B19)))))</f>
        <v>32</v>
      </c>
      <c r="P15" s="30">
        <f>IF(15&lt;=3,Assumptions!B14,IF(15&lt;=6,Assumptions!B15,IF(15&lt;=9,Assumptions!B16,IF(15&lt;=12,Assumptions!B17,IF(15&lt;=18,Assumptions!B18,Assumptions!B19)))))</f>
        <v>32</v>
      </c>
      <c r="Q15" s="30">
        <f>IF(16&lt;=3,Assumptions!B14,IF(16&lt;=6,Assumptions!B15,IF(16&lt;=9,Assumptions!B16,IF(16&lt;=12,Assumptions!B17,IF(16&lt;=18,Assumptions!B18,Assumptions!B19)))))</f>
        <v>32</v>
      </c>
      <c r="R15" s="30">
        <f>IF(17&lt;=3,Assumptions!B14,IF(17&lt;=6,Assumptions!B15,IF(17&lt;=9,Assumptions!B16,IF(17&lt;=12,Assumptions!B17,IF(17&lt;=18,Assumptions!B18,Assumptions!B19)))))</f>
        <v>32</v>
      </c>
      <c r="S15" s="30">
        <f>IF(18&lt;=3,Assumptions!B14,IF(18&lt;=6,Assumptions!B15,IF(18&lt;=9,Assumptions!B16,IF(18&lt;=12,Assumptions!B17,IF(18&lt;=18,Assumptions!B18,Assumptions!B19)))))</f>
        <v>32</v>
      </c>
      <c r="T15" s="30">
        <f>IF(19&lt;=3,Assumptions!B14,IF(19&lt;=6,Assumptions!B15,IF(19&lt;=9,Assumptions!B16,IF(19&lt;=12,Assumptions!B17,IF(19&lt;=18,Assumptions!B18,Assumptions!B19)))))</f>
        <v>38</v>
      </c>
      <c r="U15" s="30">
        <f>IF(20&lt;=3,Assumptions!B14,IF(20&lt;=6,Assumptions!B15,IF(20&lt;=9,Assumptions!B16,IF(20&lt;=12,Assumptions!B17,IF(20&lt;=18,Assumptions!B18,Assumptions!B19)))))</f>
        <v>38</v>
      </c>
      <c r="V15" s="30">
        <f>IF(21&lt;=3,Assumptions!B14,IF(21&lt;=6,Assumptions!B15,IF(21&lt;=9,Assumptions!B16,IF(21&lt;=12,Assumptions!B17,IF(21&lt;=18,Assumptions!B18,Assumptions!B19)))))</f>
        <v>38</v>
      </c>
      <c r="W15" s="30">
        <f>IF(22&lt;=3,Assumptions!B14,IF(22&lt;=6,Assumptions!B15,IF(22&lt;=9,Assumptions!B16,IF(22&lt;=12,Assumptions!B17,IF(22&lt;=18,Assumptions!B18,Assumptions!B19)))))</f>
        <v>38</v>
      </c>
      <c r="X15" s="30">
        <f>IF(23&lt;=3,Assumptions!B14,IF(23&lt;=6,Assumptions!B15,IF(23&lt;=9,Assumptions!B16,IF(23&lt;=12,Assumptions!B17,IF(23&lt;=18,Assumptions!B18,Assumptions!B19)))))</f>
        <v>38</v>
      </c>
      <c r="Y15" s="30">
        <f>IF(24&lt;=3,Assumptions!B14,IF(24&lt;=6,Assumptions!B15,IF(24&lt;=9,Assumptions!B16,IF(24&lt;=12,Assumptions!B17,IF(24&lt;=18,Assumptions!B18,Assumptions!B19)))))</f>
        <v>38</v>
      </c>
    </row>
    <row r="16">
      <c r="A16" s="49" t="s">
        <v>444</v>
      </c>
      <c r="B16" s="50">
        <v>0.0</v>
      </c>
      <c r="C16" s="30">
        <f>ROUND(B17*Assumptions!B8,0)</f>
        <v>0</v>
      </c>
      <c r="D16" s="30">
        <f>ROUND(C17*Assumptions!B8,0)</f>
        <v>0</v>
      </c>
      <c r="E16" s="30">
        <f>ROUND(D17*Assumptions!B8,0)</f>
        <v>0</v>
      </c>
      <c r="F16" s="30">
        <f>ROUND(E17*Assumptions!B8,0)</f>
        <v>1</v>
      </c>
      <c r="G16" s="30">
        <f>ROUND(F17*Assumptions!B8,0)</f>
        <v>2</v>
      </c>
      <c r="H16" s="30">
        <f>ROUND(G17*Assumptions!B8,0)</f>
        <v>3</v>
      </c>
      <c r="I16" s="30">
        <f>ROUND(H17*Assumptions!B8,0)</f>
        <v>5</v>
      </c>
      <c r="J16" s="30">
        <f>ROUND(I17*Assumptions!B8,0)</f>
        <v>6</v>
      </c>
      <c r="K16" s="30">
        <f>ROUND(J17*Assumptions!B8,0)</f>
        <v>8</v>
      </c>
      <c r="L16" s="30">
        <f>ROUND(K17*Assumptions!B8,0)</f>
        <v>9</v>
      </c>
      <c r="M16" s="30">
        <f>ROUND(L17*Assumptions!B8,0)</f>
        <v>11</v>
      </c>
      <c r="N16" s="30">
        <f>ROUND(M17*Assumptions!B8,0)</f>
        <v>12</v>
      </c>
      <c r="O16" s="30">
        <f>ROUND(N17*Assumptions!B8,0)</f>
        <v>14</v>
      </c>
      <c r="P16" s="30">
        <f>ROUND(O17*Assumptions!B8,0)</f>
        <v>15</v>
      </c>
      <c r="Q16" s="30">
        <f>ROUND(P17*Assumptions!B8,0)</f>
        <v>16</v>
      </c>
      <c r="R16" s="30">
        <f>ROUND(Q17*Assumptions!B8,0)</f>
        <v>18</v>
      </c>
      <c r="S16" s="30">
        <f>ROUND(R17*Assumptions!B8,0)</f>
        <v>19</v>
      </c>
      <c r="T16" s="30">
        <f>ROUND(S17*Assumptions!B8,0)</f>
        <v>20</v>
      </c>
      <c r="U16" s="30">
        <f>ROUND(T17*Assumptions!B8,0)</f>
        <v>21</v>
      </c>
      <c r="V16" s="30">
        <f>ROUND(U17*Assumptions!B8,0)</f>
        <v>23</v>
      </c>
      <c r="W16" s="30">
        <f>ROUND(V17*Assumptions!B8,0)</f>
        <v>24</v>
      </c>
      <c r="X16" s="30">
        <f>ROUND(W17*Assumptions!B8,0)</f>
        <v>25</v>
      </c>
      <c r="Y16" s="30">
        <f>ROUND(X17*Assumptions!B8,0)</f>
        <v>26</v>
      </c>
    </row>
    <row r="17">
      <c r="A17" s="51" t="s">
        <v>445</v>
      </c>
      <c r="B17" s="52">
        <f>MAX(0,B15-B16)</f>
        <v>0</v>
      </c>
      <c r="C17" s="52">
        <f t="shared" ref="C17:Y17" si="2">MAX(0,B17-C16+C15)</f>
        <v>0</v>
      </c>
      <c r="D17" s="52">
        <f t="shared" si="2"/>
        <v>0</v>
      </c>
      <c r="E17" s="52">
        <f t="shared" si="2"/>
        <v>15</v>
      </c>
      <c r="F17" s="52">
        <f t="shared" si="2"/>
        <v>29</v>
      </c>
      <c r="G17" s="52">
        <f t="shared" si="2"/>
        <v>42</v>
      </c>
      <c r="H17" s="52">
        <f t="shared" si="2"/>
        <v>61</v>
      </c>
      <c r="I17" s="52">
        <f t="shared" si="2"/>
        <v>78</v>
      </c>
      <c r="J17" s="52">
        <f t="shared" si="2"/>
        <v>94</v>
      </c>
      <c r="K17" s="52">
        <f t="shared" si="2"/>
        <v>114</v>
      </c>
      <c r="L17" s="52">
        <f t="shared" si="2"/>
        <v>133</v>
      </c>
      <c r="M17" s="52">
        <f t="shared" si="2"/>
        <v>150</v>
      </c>
      <c r="N17" s="52">
        <f t="shared" si="2"/>
        <v>170</v>
      </c>
      <c r="O17" s="52">
        <f t="shared" si="2"/>
        <v>188</v>
      </c>
      <c r="P17" s="52">
        <f t="shared" si="2"/>
        <v>205</v>
      </c>
      <c r="Q17" s="52">
        <f t="shared" si="2"/>
        <v>221</v>
      </c>
      <c r="R17" s="52">
        <f t="shared" si="2"/>
        <v>235</v>
      </c>
      <c r="S17" s="52">
        <f t="shared" si="2"/>
        <v>248</v>
      </c>
      <c r="T17" s="52">
        <f t="shared" si="2"/>
        <v>266</v>
      </c>
      <c r="U17" s="52">
        <f t="shared" si="2"/>
        <v>283</v>
      </c>
      <c r="V17" s="52">
        <f t="shared" si="2"/>
        <v>298</v>
      </c>
      <c r="W17" s="52">
        <f t="shared" si="2"/>
        <v>312</v>
      </c>
      <c r="X17" s="52">
        <f t="shared" si="2"/>
        <v>325</v>
      </c>
      <c r="Y17" s="52">
        <f t="shared" si="2"/>
        <v>337</v>
      </c>
    </row>
    <row r="18">
      <c r="A18" s="49" t="s">
        <v>446</v>
      </c>
      <c r="B18" s="30">
        <f>ROUND(B17*Assumptions!B9,0)</f>
        <v>0</v>
      </c>
      <c r="C18" s="30">
        <f>ROUND(C17*Assumptions!B9,0)</f>
        <v>0</v>
      </c>
      <c r="D18" s="30">
        <f>ROUND(D17*Assumptions!B9,0)</f>
        <v>0</v>
      </c>
      <c r="E18" s="30">
        <f>ROUND(E17*Assumptions!B9,0)</f>
        <v>8</v>
      </c>
      <c r="F18" s="30">
        <f>ROUND(F17*Assumptions!B9,0)</f>
        <v>15</v>
      </c>
      <c r="G18" s="30">
        <f>ROUND(G17*Assumptions!B9,0)</f>
        <v>22</v>
      </c>
      <c r="H18" s="30">
        <f>ROUND(H17*Assumptions!B9,0)</f>
        <v>32</v>
      </c>
      <c r="I18" s="30">
        <f>ROUND(I17*Assumptions!B9,0)</f>
        <v>41</v>
      </c>
      <c r="J18" s="30">
        <f>ROUND(J17*Assumptions!B9,0)</f>
        <v>49</v>
      </c>
      <c r="K18" s="30">
        <f>ROUND(K17*Assumptions!B9,0)</f>
        <v>59</v>
      </c>
      <c r="L18" s="30">
        <f>ROUND(L17*Assumptions!B9,0)</f>
        <v>69</v>
      </c>
      <c r="M18" s="30">
        <f>ROUND(M17*Assumptions!B9,0)</f>
        <v>78</v>
      </c>
      <c r="N18" s="30">
        <f>ROUND(N17*Assumptions!B9,0)</f>
        <v>88</v>
      </c>
      <c r="O18" s="30">
        <f>ROUND(O17*Assumptions!B9,0)</f>
        <v>98</v>
      </c>
      <c r="P18" s="30">
        <f>ROUND(P17*Assumptions!B9,0)</f>
        <v>107</v>
      </c>
      <c r="Q18" s="30">
        <f>ROUND(Q17*Assumptions!B9,0)</f>
        <v>115</v>
      </c>
      <c r="R18" s="30">
        <f>ROUND(R17*Assumptions!B9,0)</f>
        <v>122</v>
      </c>
      <c r="S18" s="30">
        <f>ROUND(S17*Assumptions!B9,0)</f>
        <v>129</v>
      </c>
      <c r="T18" s="30">
        <f>ROUND(T17*Assumptions!B9,0)</f>
        <v>138</v>
      </c>
      <c r="U18" s="30">
        <f>ROUND(U17*Assumptions!B9,0)</f>
        <v>147</v>
      </c>
      <c r="V18" s="30">
        <f>ROUND(V17*Assumptions!B9,0)</f>
        <v>155</v>
      </c>
      <c r="W18" s="30">
        <f>ROUND(W17*Assumptions!B9,0)</f>
        <v>162</v>
      </c>
      <c r="X18" s="30">
        <f>ROUND(X17*Assumptions!B9,0)</f>
        <v>169</v>
      </c>
      <c r="Y18" s="30">
        <f>ROUND(Y17*Assumptions!B9,0)</f>
        <v>175</v>
      </c>
    </row>
    <row r="19">
      <c r="A19" s="49" t="s">
        <v>447</v>
      </c>
      <c r="B19" s="30">
        <f>ROUND(B17*Assumptions!B10,0)</f>
        <v>0</v>
      </c>
      <c r="C19" s="30">
        <f>ROUND(C17*Assumptions!B10,0)</f>
        <v>0</v>
      </c>
      <c r="D19" s="30">
        <f>ROUND(D17*Assumptions!B10,0)</f>
        <v>0</v>
      </c>
      <c r="E19" s="30">
        <f>ROUND(E17*Assumptions!B10,0)</f>
        <v>6</v>
      </c>
      <c r="F19" s="30">
        <f>ROUND(F17*Assumptions!B10,0)</f>
        <v>11</v>
      </c>
      <c r="G19" s="30">
        <f>ROUND(G17*Assumptions!B10,0)</f>
        <v>16</v>
      </c>
      <c r="H19" s="30">
        <f>ROUND(H17*Assumptions!B10,0)</f>
        <v>23</v>
      </c>
      <c r="I19" s="30">
        <f>ROUND(I17*Assumptions!B10,0)</f>
        <v>30</v>
      </c>
      <c r="J19" s="30">
        <f>ROUND(J17*Assumptions!B10,0)</f>
        <v>36</v>
      </c>
      <c r="K19" s="30">
        <f>ROUND(K17*Assumptions!B10,0)</f>
        <v>43</v>
      </c>
      <c r="L19" s="30">
        <f>ROUND(L17*Assumptions!B10,0)</f>
        <v>51</v>
      </c>
      <c r="M19" s="30">
        <f>ROUND(M17*Assumptions!B10,0)</f>
        <v>57</v>
      </c>
      <c r="N19" s="30">
        <f>ROUND(N17*Assumptions!B10,0)</f>
        <v>65</v>
      </c>
      <c r="O19" s="30">
        <f>ROUND(O17*Assumptions!B10,0)</f>
        <v>71</v>
      </c>
      <c r="P19" s="30">
        <f>ROUND(P17*Assumptions!B10,0)</f>
        <v>78</v>
      </c>
      <c r="Q19" s="30">
        <f>ROUND(Q17*Assumptions!B10,0)</f>
        <v>84</v>
      </c>
      <c r="R19" s="30">
        <f>ROUND(R17*Assumptions!B10,0)</f>
        <v>89</v>
      </c>
      <c r="S19" s="30">
        <f>ROUND(S17*Assumptions!B10,0)</f>
        <v>94</v>
      </c>
      <c r="T19" s="30">
        <f>ROUND(T17*Assumptions!B10,0)</f>
        <v>101</v>
      </c>
      <c r="U19" s="30">
        <f>ROUND(U17*Assumptions!B10,0)</f>
        <v>108</v>
      </c>
      <c r="V19" s="30">
        <f>ROUND(V17*Assumptions!B10,0)</f>
        <v>113</v>
      </c>
      <c r="W19" s="30">
        <f>ROUND(W17*Assumptions!B10,0)</f>
        <v>119</v>
      </c>
      <c r="X19" s="30">
        <f>ROUND(X17*Assumptions!B10,0)</f>
        <v>124</v>
      </c>
      <c r="Y19" s="30">
        <f>ROUND(Y17*Assumptions!B10,0)</f>
        <v>128</v>
      </c>
    </row>
    <row r="20">
      <c r="A20" s="49" t="s">
        <v>448</v>
      </c>
      <c r="B20" s="30">
        <f t="shared" ref="B20:Y20" si="3">MAX(0,B17-B18-B19)</f>
        <v>0</v>
      </c>
      <c r="C20" s="30">
        <f t="shared" si="3"/>
        <v>0</v>
      </c>
      <c r="D20" s="30">
        <f t="shared" si="3"/>
        <v>0</v>
      </c>
      <c r="E20" s="30">
        <f t="shared" si="3"/>
        <v>1</v>
      </c>
      <c r="F20" s="30">
        <f t="shared" si="3"/>
        <v>3</v>
      </c>
      <c r="G20" s="30">
        <f t="shared" si="3"/>
        <v>4</v>
      </c>
      <c r="H20" s="30">
        <f t="shared" si="3"/>
        <v>6</v>
      </c>
      <c r="I20" s="30">
        <f t="shared" si="3"/>
        <v>7</v>
      </c>
      <c r="J20" s="30">
        <f t="shared" si="3"/>
        <v>9</v>
      </c>
      <c r="K20" s="30">
        <f t="shared" si="3"/>
        <v>12</v>
      </c>
      <c r="L20" s="30">
        <f t="shared" si="3"/>
        <v>13</v>
      </c>
      <c r="M20" s="30">
        <f t="shared" si="3"/>
        <v>15</v>
      </c>
      <c r="N20" s="30">
        <f t="shared" si="3"/>
        <v>17</v>
      </c>
      <c r="O20" s="30">
        <f t="shared" si="3"/>
        <v>19</v>
      </c>
      <c r="P20" s="30">
        <f t="shared" si="3"/>
        <v>20</v>
      </c>
      <c r="Q20" s="30">
        <f t="shared" si="3"/>
        <v>22</v>
      </c>
      <c r="R20" s="30">
        <f t="shared" si="3"/>
        <v>24</v>
      </c>
      <c r="S20" s="30">
        <f t="shared" si="3"/>
        <v>25</v>
      </c>
      <c r="T20" s="30">
        <f t="shared" si="3"/>
        <v>27</v>
      </c>
      <c r="U20" s="30">
        <f t="shared" si="3"/>
        <v>28</v>
      </c>
      <c r="V20" s="30">
        <f t="shared" si="3"/>
        <v>30</v>
      </c>
      <c r="W20" s="30">
        <f t="shared" si="3"/>
        <v>31</v>
      </c>
      <c r="X20" s="30">
        <f t="shared" si="3"/>
        <v>32</v>
      </c>
      <c r="Y20" s="30">
        <f t="shared" si="3"/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6B4A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6.0"/>
    <col customWidth="1" min="2" max="26" width="11.0"/>
  </cols>
  <sheetData>
    <row r="1">
      <c r="A1" s="36" t="s">
        <v>449</v>
      </c>
    </row>
    <row r="2">
      <c r="A2" s="37" t="s">
        <v>450</v>
      </c>
    </row>
    <row r="3">
      <c r="A3" s="6" t="s">
        <v>451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4" t="s">
        <v>17</v>
      </c>
      <c r="P3" s="4" t="s">
        <v>18</v>
      </c>
      <c r="Q3" s="4" t="s">
        <v>19</v>
      </c>
      <c r="R3" s="4" t="s">
        <v>20</v>
      </c>
      <c r="S3" s="4" t="s">
        <v>21</v>
      </c>
      <c r="T3" s="4" t="s">
        <v>22</v>
      </c>
      <c r="U3" s="4" t="s">
        <v>23</v>
      </c>
      <c r="V3" s="4" t="s">
        <v>24</v>
      </c>
      <c r="W3" s="4" t="s">
        <v>25</v>
      </c>
      <c r="X3" s="4" t="s">
        <v>26</v>
      </c>
      <c r="Y3" s="4" t="s">
        <v>27</v>
      </c>
      <c r="Z3" s="4" t="s">
        <v>28</v>
      </c>
    </row>
    <row r="4">
      <c r="A4" s="6" t="s">
        <v>452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8" t="s">
        <v>453</v>
      </c>
      <c r="B5" s="22">
        <f>'P&amp;L'!B136</f>
        <v>-14979</v>
      </c>
      <c r="C5" s="22">
        <f>'P&amp;L'!C136</f>
        <v>-14979</v>
      </c>
      <c r="D5" s="22">
        <f>'P&amp;L'!D136</f>
        <v>-15584</v>
      </c>
      <c r="E5" s="22">
        <f>'P&amp;L'!E136</f>
        <v>-16715</v>
      </c>
      <c r="F5" s="22">
        <f>'P&amp;L'!F136</f>
        <v>-15471</v>
      </c>
      <c r="G5" s="22">
        <f>'P&amp;L'!G136</f>
        <v>-16182</v>
      </c>
      <c r="H5" s="22">
        <f>'P&amp;L'!H136</f>
        <v>-13391</v>
      </c>
      <c r="I5" s="22">
        <f>'P&amp;L'!I136</f>
        <v>-9822</v>
      </c>
      <c r="J5" s="22">
        <f>'P&amp;L'!J136</f>
        <v>-6256</v>
      </c>
      <c r="K5" s="22">
        <f>'P&amp;L'!K136</f>
        <v>-2028</v>
      </c>
      <c r="L5" s="22">
        <f>'P&amp;L'!L136</f>
        <v>1946</v>
      </c>
      <c r="M5" s="22">
        <f>'P&amp;L'!M136</f>
        <v>6601</v>
      </c>
      <c r="N5" s="22">
        <f>'P&amp;L'!N136</f>
        <v>11105</v>
      </c>
      <c r="O5" s="22">
        <f>'P&amp;L'!O136</f>
        <v>16027</v>
      </c>
      <c r="P5" s="22">
        <f>'P&amp;L'!P136</f>
        <v>21091</v>
      </c>
      <c r="Q5" s="22">
        <f>'P&amp;L'!Q136</f>
        <v>27699</v>
      </c>
      <c r="R5" s="22">
        <f>'P&amp;L'!R136</f>
        <v>34230</v>
      </c>
      <c r="S5" s="22">
        <f>'P&amp;L'!S136</f>
        <v>28376</v>
      </c>
      <c r="T5" s="22">
        <f>'P&amp;L'!T136</f>
        <v>38649</v>
      </c>
      <c r="U5" s="22">
        <f>'P&amp;L'!U136</f>
        <v>45707</v>
      </c>
      <c r="V5" s="22">
        <f>'P&amp;L'!V136</f>
        <v>53677</v>
      </c>
      <c r="W5" s="22">
        <f>'P&amp;L'!W136</f>
        <v>61911</v>
      </c>
      <c r="X5" s="22">
        <f>'P&amp;L'!X136</f>
        <v>69882</v>
      </c>
      <c r="Y5" s="22">
        <f>'P&amp;L'!Y136</f>
        <v>77810</v>
      </c>
      <c r="Z5" s="22">
        <f t="shared" ref="Z5:Z8" si="1">SUM(B5:Y5)</f>
        <v>369304</v>
      </c>
    </row>
    <row r="6">
      <c r="A6" s="48" t="s">
        <v>454</v>
      </c>
      <c r="B6" s="22">
        <f>-'P&amp;L'!B169</f>
        <v>0</v>
      </c>
      <c r="C6" s="22">
        <f>-'P&amp;L'!C169</f>
        <v>0</v>
      </c>
      <c r="D6" s="22">
        <f>-'P&amp;L'!D169</f>
        <v>0</v>
      </c>
      <c r="E6" s="22">
        <f>-'P&amp;L'!E169</f>
        <v>0</v>
      </c>
      <c r="F6" s="22">
        <f>-'P&amp;L'!F169</f>
        <v>0</v>
      </c>
      <c r="G6" s="22">
        <f>-'P&amp;L'!G169</f>
        <v>0</v>
      </c>
      <c r="H6" s="22">
        <f>-'P&amp;L'!H169</f>
        <v>0</v>
      </c>
      <c r="I6" s="22">
        <f>-'P&amp;L'!I169</f>
        <v>0</v>
      </c>
      <c r="J6" s="22">
        <f>-'P&amp;L'!J169</f>
        <v>0</v>
      </c>
      <c r="K6" s="22">
        <f>-'P&amp;L'!K169</f>
        <v>0</v>
      </c>
      <c r="L6" s="22">
        <f>-'P&amp;L'!L169</f>
        <v>0</v>
      </c>
      <c r="M6" s="22">
        <f>-'P&amp;L'!M169</f>
        <v>0</v>
      </c>
      <c r="N6" s="22">
        <f>-'P&amp;L'!N169</f>
        <v>0</v>
      </c>
      <c r="O6" s="22">
        <f>-'P&amp;L'!O169</f>
        <v>0</v>
      </c>
      <c r="P6" s="22">
        <f>-'P&amp;L'!P169</f>
        <v>0</v>
      </c>
      <c r="Q6" s="22">
        <f>-'P&amp;L'!Q169</f>
        <v>0</v>
      </c>
      <c r="R6" s="22">
        <f>-'P&amp;L'!R169</f>
        <v>0</v>
      </c>
      <c r="S6" s="22">
        <f>-'P&amp;L'!S169</f>
        <v>0</v>
      </c>
      <c r="T6" s="22">
        <f>-'P&amp;L'!T169</f>
        <v>0</v>
      </c>
      <c r="U6" s="22">
        <f>-'P&amp;L'!U169</f>
        <v>0</v>
      </c>
      <c r="V6" s="22">
        <f>-'P&amp;L'!V169</f>
        <v>0</v>
      </c>
      <c r="W6" s="22">
        <f>-'P&amp;L'!W169</f>
        <v>-18573</v>
      </c>
      <c r="X6" s="22">
        <f>-'P&amp;L'!X169</f>
        <v>-20965</v>
      </c>
      <c r="Y6" s="22">
        <f>-'P&amp;L'!Y169</f>
        <v>-23343</v>
      </c>
      <c r="Z6" s="22">
        <f t="shared" si="1"/>
        <v>-62881</v>
      </c>
    </row>
    <row r="7">
      <c r="A7" s="48" t="s">
        <v>455</v>
      </c>
      <c r="B7" s="22">
        <f>-ROUND('Growth Curves'!B4*Assumptions!B23*2,0)</f>
        <v>0</v>
      </c>
      <c r="C7" s="22">
        <f>-ROUND(MAX(0,('Growth Curves'!C4-'Growth Curves'!B4)*Assumptions!B23*2),0)</f>
        <v>0</v>
      </c>
      <c r="D7" s="22">
        <f>-ROUND(MAX(0,('Growth Curves'!D4-'Growth Curves'!C4)*Assumptions!B23*2),0)</f>
        <v>0</v>
      </c>
      <c r="E7" s="22">
        <f>-ROUND(MAX(0,('Growth Curves'!E4-'Growth Curves'!D4)*Assumptions!B23*2),0)</f>
        <v>-2350</v>
      </c>
      <c r="F7" s="22">
        <f>-ROUND(MAX(0,('Growth Curves'!F4-'Growth Curves'!E4)*Assumptions!B23*2),0)</f>
        <v>-2350</v>
      </c>
      <c r="G7" s="22">
        <f>-ROUND(MAX(0,('Growth Curves'!G4-'Growth Curves'!F4)*Assumptions!B23*2),0)</f>
        <v>-2350</v>
      </c>
      <c r="H7" s="22">
        <f>-ROUND(MAX(0,('Growth Curves'!H4-'Growth Curves'!G4)*Assumptions!B23*2),0)</f>
        <v>-4700</v>
      </c>
      <c r="I7" s="22">
        <f>-ROUND(MAX(0,('Growth Curves'!I4-'Growth Curves'!H4)*Assumptions!B23*2),0)</f>
        <v>-4700</v>
      </c>
      <c r="J7" s="22">
        <f>-ROUND(MAX(0,('Growth Curves'!J4-'Growth Curves'!I4)*Assumptions!B23*2),0)</f>
        <v>-4700</v>
      </c>
      <c r="K7" s="22">
        <f>-ROUND(MAX(0,('Growth Curves'!K4-'Growth Curves'!J4)*Assumptions!B23*2),0)</f>
        <v>-7050</v>
      </c>
      <c r="L7" s="22">
        <f>-ROUND(MAX(0,('Growth Curves'!L4-'Growth Curves'!K4)*Assumptions!B23*2),0)</f>
        <v>-7050</v>
      </c>
      <c r="M7" s="22">
        <f>-ROUND(MAX(0,('Growth Curves'!M4-'Growth Curves'!L4)*Assumptions!B23*2),0)</f>
        <v>-7050</v>
      </c>
      <c r="N7" s="22">
        <f>-ROUND(MAX(0,('Growth Curves'!N4-'Growth Curves'!M4)*Assumptions!B23*2),0)</f>
        <v>-9400</v>
      </c>
      <c r="O7" s="22">
        <f>-ROUND(MAX(0,('Growth Curves'!O4-'Growth Curves'!N4)*Assumptions!B23*2),0)</f>
        <v>-9400</v>
      </c>
      <c r="P7" s="22">
        <f>-ROUND(MAX(0,('Growth Curves'!P4-'Growth Curves'!O4)*Assumptions!B23*2),0)</f>
        <v>-9400</v>
      </c>
      <c r="Q7" s="22">
        <f>-ROUND(MAX(0,('Growth Curves'!Q4-'Growth Curves'!P4)*Assumptions!B23*2),0)</f>
        <v>-14100</v>
      </c>
      <c r="R7" s="22">
        <f>-ROUND(MAX(0,('Growth Curves'!R4-'Growth Curves'!Q4)*Assumptions!B23*2),0)</f>
        <v>-14100</v>
      </c>
      <c r="S7" s="22">
        <f>-ROUND(MAX(0,('Growth Curves'!S4-'Growth Curves'!R4)*Assumptions!B23*2),0)</f>
        <v>-14100</v>
      </c>
      <c r="T7" s="22">
        <f>-ROUND(MAX(0,('Growth Curves'!T4-'Growth Curves'!S4)*Assumptions!B23*2),0)</f>
        <v>-14100</v>
      </c>
      <c r="U7" s="22">
        <f>-ROUND(MAX(0,('Growth Curves'!U4-'Growth Curves'!T4)*Assumptions!B23*2),0)</f>
        <v>-14100</v>
      </c>
      <c r="V7" s="22">
        <f>-ROUND(MAX(0,('Growth Curves'!V4-'Growth Curves'!U4)*Assumptions!B23*2),0)</f>
        <v>-18800</v>
      </c>
      <c r="W7" s="22">
        <f>-ROUND(MAX(0,('Growth Curves'!W4-'Growth Curves'!V4)*Assumptions!B23*2),0)</f>
        <v>-18800</v>
      </c>
      <c r="X7" s="22">
        <f>-ROUND(MAX(0,('Growth Curves'!X4-'Growth Curves'!W4)*Assumptions!B23*2),0)</f>
        <v>-18800</v>
      </c>
      <c r="Y7" s="22">
        <f>-ROUND(MAX(0,('Growth Curves'!Y4-'Growth Curves'!X4)*Assumptions!B23*2),0)</f>
        <v>-18800</v>
      </c>
      <c r="Z7" s="22">
        <f t="shared" si="1"/>
        <v>-216200</v>
      </c>
    </row>
    <row r="8">
      <c r="A8" s="53" t="s">
        <v>456</v>
      </c>
      <c r="B8" s="54">
        <f t="shared" ref="B8:Y8" si="2">B5+B6+B7</f>
        <v>-14979</v>
      </c>
      <c r="C8" s="54">
        <f t="shared" si="2"/>
        <v>-14979</v>
      </c>
      <c r="D8" s="54">
        <f t="shared" si="2"/>
        <v>-15584</v>
      </c>
      <c r="E8" s="54">
        <f t="shared" si="2"/>
        <v>-19065</v>
      </c>
      <c r="F8" s="54">
        <f t="shared" si="2"/>
        <v>-17821</v>
      </c>
      <c r="G8" s="54">
        <f t="shared" si="2"/>
        <v>-18532</v>
      </c>
      <c r="H8" s="54">
        <f t="shared" si="2"/>
        <v>-18091</v>
      </c>
      <c r="I8" s="54">
        <f t="shared" si="2"/>
        <v>-14522</v>
      </c>
      <c r="J8" s="54">
        <f t="shared" si="2"/>
        <v>-10956</v>
      </c>
      <c r="K8" s="54">
        <f t="shared" si="2"/>
        <v>-9078</v>
      </c>
      <c r="L8" s="54">
        <f t="shared" si="2"/>
        <v>-5104</v>
      </c>
      <c r="M8" s="54">
        <f t="shared" si="2"/>
        <v>-449</v>
      </c>
      <c r="N8" s="54">
        <f t="shared" si="2"/>
        <v>1705</v>
      </c>
      <c r="O8" s="54">
        <f t="shared" si="2"/>
        <v>6627</v>
      </c>
      <c r="P8" s="54">
        <f t="shared" si="2"/>
        <v>11691</v>
      </c>
      <c r="Q8" s="54">
        <f t="shared" si="2"/>
        <v>13599</v>
      </c>
      <c r="R8" s="54">
        <f t="shared" si="2"/>
        <v>20130</v>
      </c>
      <c r="S8" s="54">
        <f t="shared" si="2"/>
        <v>14276</v>
      </c>
      <c r="T8" s="54">
        <f t="shared" si="2"/>
        <v>24549</v>
      </c>
      <c r="U8" s="54">
        <f t="shared" si="2"/>
        <v>31607</v>
      </c>
      <c r="V8" s="54">
        <f t="shared" si="2"/>
        <v>34877</v>
      </c>
      <c r="W8" s="54">
        <f t="shared" si="2"/>
        <v>24538</v>
      </c>
      <c r="X8" s="54">
        <f t="shared" si="2"/>
        <v>30117</v>
      </c>
      <c r="Y8" s="54">
        <f t="shared" si="2"/>
        <v>35667</v>
      </c>
      <c r="Z8" s="54">
        <f t="shared" si="1"/>
        <v>90223</v>
      </c>
    </row>
    <row r="10">
      <c r="A10" s="6" t="s">
        <v>457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48" t="s">
        <v>458</v>
      </c>
      <c r="B11" s="22">
        <f>-'P&amp;L'!B163</f>
        <v>-46200</v>
      </c>
      <c r="C11" s="22">
        <f>-'P&amp;L'!C163</f>
        <v>0</v>
      </c>
      <c r="D11" s="22">
        <f>-'P&amp;L'!D163</f>
        <v>-103610</v>
      </c>
      <c r="E11" s="22">
        <f>-'P&amp;L'!E163</f>
        <v>0</v>
      </c>
      <c r="F11" s="22">
        <f>-'P&amp;L'!F163</f>
        <v>0</v>
      </c>
      <c r="G11" s="22">
        <f>-'P&amp;L'!G163</f>
        <v>0</v>
      </c>
      <c r="H11" s="22">
        <f>-'P&amp;L'!H163</f>
        <v>0</v>
      </c>
      <c r="I11" s="22">
        <f>-'P&amp;L'!I163</f>
        <v>0</v>
      </c>
      <c r="J11" s="22">
        <f>-'P&amp;L'!J163</f>
        <v>0</v>
      </c>
      <c r="K11" s="22">
        <f>-'P&amp;L'!K163</f>
        <v>0</v>
      </c>
      <c r="L11" s="22">
        <f>-'P&amp;L'!L163</f>
        <v>0</v>
      </c>
      <c r="M11" s="22">
        <f>-'P&amp;L'!M163</f>
        <v>0</v>
      </c>
      <c r="N11" s="22">
        <f>-'P&amp;L'!N163</f>
        <v>0</v>
      </c>
      <c r="O11" s="22">
        <f>-'P&amp;L'!O163</f>
        <v>-19000</v>
      </c>
      <c r="P11" s="22">
        <f>-'P&amp;L'!P163</f>
        <v>0</v>
      </c>
      <c r="Q11" s="22">
        <f>-'P&amp;L'!Q163</f>
        <v>0</v>
      </c>
      <c r="R11" s="22">
        <f>-'P&amp;L'!R163</f>
        <v>0</v>
      </c>
      <c r="S11" s="22">
        <f>-'P&amp;L'!S163</f>
        <v>0</v>
      </c>
      <c r="T11" s="22">
        <f>-'P&amp;L'!T163</f>
        <v>0</v>
      </c>
      <c r="U11" s="22">
        <f>-'P&amp;L'!U163</f>
        <v>0</v>
      </c>
      <c r="V11" s="22">
        <f>-'P&amp;L'!V163</f>
        <v>0</v>
      </c>
      <c r="W11" s="22">
        <f>-'P&amp;L'!W163</f>
        <v>0</v>
      </c>
      <c r="X11" s="22">
        <f>-'P&amp;L'!X163</f>
        <v>0</v>
      </c>
      <c r="Y11" s="22">
        <f>-'P&amp;L'!Y163</f>
        <v>0</v>
      </c>
      <c r="Z11" s="22">
        <f t="shared" ref="Z11:Z14" si="3">SUM(B11:Y11)</f>
        <v>-168810</v>
      </c>
    </row>
    <row r="12">
      <c r="A12" s="48" t="s">
        <v>459</v>
      </c>
      <c r="B12" s="22">
        <f>IF(1=3,-Assumptions!B118,0)</f>
        <v>0</v>
      </c>
      <c r="C12" s="22">
        <f>IF(2=3,-Assumptions!B118,0)</f>
        <v>0</v>
      </c>
      <c r="D12" s="22">
        <f>IF(3=3,-Assumptions!B118,0)</f>
        <v>-7500</v>
      </c>
      <c r="E12" s="22">
        <f>IF(4=3,-Assumptions!B118,0)</f>
        <v>0</v>
      </c>
      <c r="F12" s="22">
        <f>IF(5=3,-Assumptions!B118,0)</f>
        <v>0</v>
      </c>
      <c r="G12" s="22">
        <f>IF(6=3,-Assumptions!B118,0)</f>
        <v>0</v>
      </c>
      <c r="H12" s="22">
        <f>IF(7=3,-Assumptions!B118,0)</f>
        <v>0</v>
      </c>
      <c r="I12" s="22">
        <f>IF(8=3,-Assumptions!B118,0)</f>
        <v>0</v>
      </c>
      <c r="J12" s="22">
        <f>IF(9=3,-Assumptions!B118,0)</f>
        <v>0</v>
      </c>
      <c r="K12" s="22">
        <f>IF(10=3,-Assumptions!B118,0)</f>
        <v>0</v>
      </c>
      <c r="L12" s="22">
        <f>IF(11=3,-Assumptions!B118,0)</f>
        <v>0</v>
      </c>
      <c r="M12" s="22">
        <f>IF(12=3,-Assumptions!B118,0)</f>
        <v>0</v>
      </c>
      <c r="N12" s="22">
        <f>IF(13=3,-Assumptions!B118,0)</f>
        <v>0</v>
      </c>
      <c r="O12" s="22">
        <f>IF(14=3,-Assumptions!B118,0)</f>
        <v>0</v>
      </c>
      <c r="P12" s="22">
        <f>IF(15=3,-Assumptions!B118,0)</f>
        <v>0</v>
      </c>
      <c r="Q12" s="22">
        <f>IF(16=3,-Assumptions!B118,0)</f>
        <v>0</v>
      </c>
      <c r="R12" s="22">
        <f>IF(17=3,-Assumptions!B118,0)</f>
        <v>0</v>
      </c>
      <c r="S12" s="22">
        <f>IF(18=3,-Assumptions!B118,0)</f>
        <v>0</v>
      </c>
      <c r="T12" s="22">
        <f>IF(19=3,-Assumptions!B118,0)</f>
        <v>0</v>
      </c>
      <c r="U12" s="22">
        <f>IF(20=3,-Assumptions!B118,0)</f>
        <v>0</v>
      </c>
      <c r="V12" s="22">
        <f>IF(21=3,-Assumptions!B118,0)</f>
        <v>0</v>
      </c>
      <c r="W12" s="22">
        <f>IF(22=3,-Assumptions!B118,0)</f>
        <v>0</v>
      </c>
      <c r="X12" s="22">
        <f>IF(23=3,-Assumptions!B118,0)</f>
        <v>0</v>
      </c>
      <c r="Y12" s="22">
        <f>IF(24=3,-Assumptions!B118,0)</f>
        <v>0</v>
      </c>
      <c r="Z12" s="22">
        <f t="shared" si="3"/>
        <v>-7500</v>
      </c>
    </row>
    <row r="13">
      <c r="A13" s="48" t="s">
        <v>460</v>
      </c>
      <c r="B13" s="22">
        <f>IF(1=3,-Assumptions!B140,0)</f>
        <v>0</v>
      </c>
      <c r="C13" s="22">
        <f>IF(2=3,-Assumptions!B140,0)</f>
        <v>0</v>
      </c>
      <c r="D13" s="22">
        <f>IF(3=3,-Assumptions!B140,0)</f>
        <v>-3600</v>
      </c>
      <c r="E13" s="22">
        <f>IF(4=3,-Assumptions!B140,0)</f>
        <v>0</v>
      </c>
      <c r="F13" s="22">
        <f>IF(5=3,-Assumptions!B140,0)</f>
        <v>0</v>
      </c>
      <c r="G13" s="22">
        <f>IF(6=3,-Assumptions!B140,0)</f>
        <v>0</v>
      </c>
      <c r="H13" s="22">
        <f>IF(7=3,-Assumptions!B140,0)</f>
        <v>0</v>
      </c>
      <c r="I13" s="22">
        <f>IF(8=3,-Assumptions!B140,0)</f>
        <v>0</v>
      </c>
      <c r="J13" s="22">
        <f>IF(9=3,-Assumptions!B140,0)</f>
        <v>0</v>
      </c>
      <c r="K13" s="22">
        <f>IF(10=3,-Assumptions!B140,0)</f>
        <v>0</v>
      </c>
      <c r="L13" s="22">
        <f>IF(11=3,-Assumptions!B140,0)</f>
        <v>0</v>
      </c>
      <c r="M13" s="22">
        <f>IF(12=3,-Assumptions!B140,0)</f>
        <v>0</v>
      </c>
      <c r="N13" s="22">
        <f>IF(13=3,-Assumptions!B140,0)</f>
        <v>0</v>
      </c>
      <c r="O13" s="22">
        <f>IF(14=3,-Assumptions!B140,0)</f>
        <v>0</v>
      </c>
      <c r="P13" s="22">
        <f>IF(15=3,-Assumptions!B140,0)</f>
        <v>0</v>
      </c>
      <c r="Q13" s="22">
        <f>IF(16=3,-Assumptions!B140,0)</f>
        <v>0</v>
      </c>
      <c r="R13" s="22">
        <f>IF(17=3,-Assumptions!B140,0)</f>
        <v>0</v>
      </c>
      <c r="S13" s="22">
        <f>IF(18=3,-Assumptions!B140,0)</f>
        <v>0</v>
      </c>
      <c r="T13" s="22">
        <f>IF(19=3,-Assumptions!B140,0)</f>
        <v>0</v>
      </c>
      <c r="U13" s="22">
        <f>IF(20=3,-Assumptions!B140,0)</f>
        <v>0</v>
      </c>
      <c r="V13" s="22">
        <f>IF(21=3,-Assumptions!B140,0)</f>
        <v>0</v>
      </c>
      <c r="W13" s="22">
        <f>IF(22=3,-Assumptions!B140,0)</f>
        <v>0</v>
      </c>
      <c r="X13" s="22">
        <f>IF(23=3,-Assumptions!B140,0)</f>
        <v>0</v>
      </c>
      <c r="Y13" s="22">
        <f>IF(24=3,-Assumptions!B140,0)</f>
        <v>0</v>
      </c>
      <c r="Z13" s="22">
        <f t="shared" si="3"/>
        <v>-3600</v>
      </c>
    </row>
    <row r="14">
      <c r="A14" s="53" t="s">
        <v>461</v>
      </c>
      <c r="B14" s="54">
        <f t="shared" ref="B14:Y14" si="4">B11+B12+B13</f>
        <v>-46200</v>
      </c>
      <c r="C14" s="54">
        <f t="shared" si="4"/>
        <v>0</v>
      </c>
      <c r="D14" s="54">
        <f t="shared" si="4"/>
        <v>-114710</v>
      </c>
      <c r="E14" s="54">
        <f t="shared" si="4"/>
        <v>0</v>
      </c>
      <c r="F14" s="54">
        <f t="shared" si="4"/>
        <v>0</v>
      </c>
      <c r="G14" s="54">
        <f t="shared" si="4"/>
        <v>0</v>
      </c>
      <c r="H14" s="54">
        <f t="shared" si="4"/>
        <v>0</v>
      </c>
      <c r="I14" s="54">
        <f t="shared" si="4"/>
        <v>0</v>
      </c>
      <c r="J14" s="54">
        <f t="shared" si="4"/>
        <v>0</v>
      </c>
      <c r="K14" s="54">
        <f t="shared" si="4"/>
        <v>0</v>
      </c>
      <c r="L14" s="54">
        <f t="shared" si="4"/>
        <v>0</v>
      </c>
      <c r="M14" s="54">
        <f t="shared" si="4"/>
        <v>0</v>
      </c>
      <c r="N14" s="54">
        <f t="shared" si="4"/>
        <v>0</v>
      </c>
      <c r="O14" s="54">
        <f t="shared" si="4"/>
        <v>-19000</v>
      </c>
      <c r="P14" s="54">
        <f t="shared" si="4"/>
        <v>0</v>
      </c>
      <c r="Q14" s="54">
        <f t="shared" si="4"/>
        <v>0</v>
      </c>
      <c r="R14" s="54">
        <f t="shared" si="4"/>
        <v>0</v>
      </c>
      <c r="S14" s="54">
        <f t="shared" si="4"/>
        <v>0</v>
      </c>
      <c r="T14" s="54">
        <f t="shared" si="4"/>
        <v>0</v>
      </c>
      <c r="U14" s="54">
        <f t="shared" si="4"/>
        <v>0</v>
      </c>
      <c r="V14" s="54">
        <f t="shared" si="4"/>
        <v>0</v>
      </c>
      <c r="W14" s="54">
        <f t="shared" si="4"/>
        <v>0</v>
      </c>
      <c r="X14" s="54">
        <f t="shared" si="4"/>
        <v>0</v>
      </c>
      <c r="Y14" s="54">
        <f t="shared" si="4"/>
        <v>0</v>
      </c>
      <c r="Z14" s="55">
        <f t="shared" si="3"/>
        <v>-179910</v>
      </c>
    </row>
    <row r="16">
      <c r="A16" s="6" t="s">
        <v>462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8" t="s">
        <v>463</v>
      </c>
      <c r="B17" s="22">
        <f>IF(1=1,500000,0)</f>
        <v>500000</v>
      </c>
      <c r="C17" s="22">
        <f>IF(2=1,500000,0)</f>
        <v>0</v>
      </c>
      <c r="D17" s="22">
        <f>IF(3=1,500000,0)</f>
        <v>0</v>
      </c>
      <c r="E17" s="22">
        <f>IF(4=1,500000,0)</f>
        <v>0</v>
      </c>
      <c r="F17" s="22">
        <f>IF(5=1,500000,0)</f>
        <v>0</v>
      </c>
      <c r="G17" s="22">
        <f>IF(6=1,500000,0)</f>
        <v>0</v>
      </c>
      <c r="H17" s="22">
        <f>IF(7=1,500000,0)</f>
        <v>0</v>
      </c>
      <c r="I17" s="22">
        <f>IF(8=1,500000,0)</f>
        <v>0</v>
      </c>
      <c r="J17" s="22">
        <f>IF(9=1,500000,0)</f>
        <v>0</v>
      </c>
      <c r="K17" s="22">
        <f>IF(10=1,500000,0)</f>
        <v>0</v>
      </c>
      <c r="L17" s="22">
        <f>IF(11=1,500000,0)</f>
        <v>0</v>
      </c>
      <c r="M17" s="22">
        <f>IF(12=1,500000,0)</f>
        <v>0</v>
      </c>
      <c r="N17" s="22">
        <f>IF(13=1,500000,0)</f>
        <v>0</v>
      </c>
      <c r="O17" s="22">
        <f>IF(14=1,500000,0)</f>
        <v>0</v>
      </c>
      <c r="P17" s="22">
        <f>IF(15=1,500000,0)</f>
        <v>0</v>
      </c>
      <c r="Q17" s="22">
        <f>IF(16=1,500000,0)</f>
        <v>0</v>
      </c>
      <c r="R17" s="22">
        <f>IF(17=1,500000,0)</f>
        <v>0</v>
      </c>
      <c r="S17" s="22">
        <f>IF(18=1,500000,0)</f>
        <v>0</v>
      </c>
      <c r="T17" s="22">
        <f>IF(19=1,500000,0)</f>
        <v>0</v>
      </c>
      <c r="U17" s="22">
        <f>IF(20=1,500000,0)</f>
        <v>0</v>
      </c>
      <c r="V17" s="22">
        <f>IF(21=1,500000,0)</f>
        <v>0</v>
      </c>
      <c r="W17" s="22">
        <f>IF(22=1,500000,0)</f>
        <v>0</v>
      </c>
      <c r="X17" s="22">
        <f>IF(23=1,500000,0)</f>
        <v>0</v>
      </c>
      <c r="Y17" s="22">
        <f>IF(24=1,500000,0)</f>
        <v>0</v>
      </c>
      <c r="Z17" s="22">
        <f t="shared" ref="Z17:Z18" si="6">SUM(B17:Y17)</f>
        <v>500000</v>
      </c>
    </row>
    <row r="18">
      <c r="A18" s="53" t="s">
        <v>464</v>
      </c>
      <c r="B18" s="54">
        <f t="shared" ref="B18:Y18" si="5">B17</f>
        <v>500000</v>
      </c>
      <c r="C18" s="54">
        <f t="shared" si="5"/>
        <v>0</v>
      </c>
      <c r="D18" s="54">
        <f t="shared" si="5"/>
        <v>0</v>
      </c>
      <c r="E18" s="54">
        <f t="shared" si="5"/>
        <v>0</v>
      </c>
      <c r="F18" s="54">
        <f t="shared" si="5"/>
        <v>0</v>
      </c>
      <c r="G18" s="54">
        <f t="shared" si="5"/>
        <v>0</v>
      </c>
      <c r="H18" s="54">
        <f t="shared" si="5"/>
        <v>0</v>
      </c>
      <c r="I18" s="54">
        <f t="shared" si="5"/>
        <v>0</v>
      </c>
      <c r="J18" s="54">
        <f t="shared" si="5"/>
        <v>0</v>
      </c>
      <c r="K18" s="54">
        <f t="shared" si="5"/>
        <v>0</v>
      </c>
      <c r="L18" s="54">
        <f t="shared" si="5"/>
        <v>0</v>
      </c>
      <c r="M18" s="54">
        <f t="shared" si="5"/>
        <v>0</v>
      </c>
      <c r="N18" s="54">
        <f t="shared" si="5"/>
        <v>0</v>
      </c>
      <c r="O18" s="54">
        <f t="shared" si="5"/>
        <v>0</v>
      </c>
      <c r="P18" s="54">
        <f t="shared" si="5"/>
        <v>0</v>
      </c>
      <c r="Q18" s="54">
        <f t="shared" si="5"/>
        <v>0</v>
      </c>
      <c r="R18" s="54">
        <f t="shared" si="5"/>
        <v>0</v>
      </c>
      <c r="S18" s="54">
        <f t="shared" si="5"/>
        <v>0</v>
      </c>
      <c r="T18" s="54">
        <f t="shared" si="5"/>
        <v>0</v>
      </c>
      <c r="U18" s="54">
        <f t="shared" si="5"/>
        <v>0</v>
      </c>
      <c r="V18" s="54">
        <f t="shared" si="5"/>
        <v>0</v>
      </c>
      <c r="W18" s="54">
        <f t="shared" si="5"/>
        <v>0</v>
      </c>
      <c r="X18" s="54">
        <f t="shared" si="5"/>
        <v>0</v>
      </c>
      <c r="Y18" s="54">
        <f t="shared" si="5"/>
        <v>0</v>
      </c>
      <c r="Z18" s="55">
        <f t="shared" si="6"/>
        <v>500000</v>
      </c>
    </row>
    <row r="20">
      <c r="A20" s="56" t="s">
        <v>465</v>
      </c>
      <c r="B20" s="24">
        <f t="shared" ref="B20:Y20" si="7">B8+B14+B18</f>
        <v>438821</v>
      </c>
      <c r="C20" s="24">
        <f t="shared" si="7"/>
        <v>-14979</v>
      </c>
      <c r="D20" s="24">
        <f t="shared" si="7"/>
        <v>-130294</v>
      </c>
      <c r="E20" s="24">
        <f t="shared" si="7"/>
        <v>-19065</v>
      </c>
      <c r="F20" s="24">
        <f t="shared" si="7"/>
        <v>-17821</v>
      </c>
      <c r="G20" s="24">
        <f t="shared" si="7"/>
        <v>-18532</v>
      </c>
      <c r="H20" s="24">
        <f t="shared" si="7"/>
        <v>-18091</v>
      </c>
      <c r="I20" s="24">
        <f t="shared" si="7"/>
        <v>-14522</v>
      </c>
      <c r="J20" s="24">
        <f t="shared" si="7"/>
        <v>-10956</v>
      </c>
      <c r="K20" s="24">
        <f t="shared" si="7"/>
        <v>-9078</v>
      </c>
      <c r="L20" s="24">
        <f t="shared" si="7"/>
        <v>-5104</v>
      </c>
      <c r="M20" s="24">
        <f t="shared" si="7"/>
        <v>-449</v>
      </c>
      <c r="N20" s="24">
        <f t="shared" si="7"/>
        <v>1705</v>
      </c>
      <c r="O20" s="24">
        <f t="shared" si="7"/>
        <v>-12373</v>
      </c>
      <c r="P20" s="24">
        <f t="shared" si="7"/>
        <v>11691</v>
      </c>
      <c r="Q20" s="24">
        <f t="shared" si="7"/>
        <v>13599</v>
      </c>
      <c r="R20" s="24">
        <f t="shared" si="7"/>
        <v>20130</v>
      </c>
      <c r="S20" s="24">
        <f t="shared" si="7"/>
        <v>14276</v>
      </c>
      <c r="T20" s="24">
        <f t="shared" si="7"/>
        <v>24549</v>
      </c>
      <c r="U20" s="24">
        <f t="shared" si="7"/>
        <v>31607</v>
      </c>
      <c r="V20" s="24">
        <f t="shared" si="7"/>
        <v>34877</v>
      </c>
      <c r="W20" s="24">
        <f t="shared" si="7"/>
        <v>24538</v>
      </c>
      <c r="X20" s="24">
        <f t="shared" si="7"/>
        <v>30117</v>
      </c>
      <c r="Y20" s="24">
        <f t="shared" si="7"/>
        <v>35667</v>
      </c>
      <c r="Z20" s="24">
        <f>SUM(B20:Y20)</f>
        <v>410313</v>
      </c>
    </row>
    <row r="21" ht="15.75" customHeight="1">
      <c r="A21" s="56" t="s">
        <v>466</v>
      </c>
      <c r="B21" s="24">
        <f>B20</f>
        <v>438821</v>
      </c>
      <c r="C21" s="24">
        <f t="shared" ref="C21:Y21" si="8">B21+C20</f>
        <v>423842</v>
      </c>
      <c r="D21" s="24">
        <f t="shared" si="8"/>
        <v>293548</v>
      </c>
      <c r="E21" s="24">
        <f t="shared" si="8"/>
        <v>274483</v>
      </c>
      <c r="F21" s="24">
        <f t="shared" si="8"/>
        <v>256662</v>
      </c>
      <c r="G21" s="24">
        <f t="shared" si="8"/>
        <v>238130</v>
      </c>
      <c r="H21" s="24">
        <f t="shared" si="8"/>
        <v>220039</v>
      </c>
      <c r="I21" s="24">
        <f t="shared" si="8"/>
        <v>205517</v>
      </c>
      <c r="J21" s="24">
        <f t="shared" si="8"/>
        <v>194561</v>
      </c>
      <c r="K21" s="24">
        <f t="shared" si="8"/>
        <v>185483</v>
      </c>
      <c r="L21" s="24">
        <f t="shared" si="8"/>
        <v>180379</v>
      </c>
      <c r="M21" s="24">
        <f t="shared" si="8"/>
        <v>179930</v>
      </c>
      <c r="N21" s="24">
        <f t="shared" si="8"/>
        <v>181635</v>
      </c>
      <c r="O21" s="24">
        <f t="shared" si="8"/>
        <v>169262</v>
      </c>
      <c r="P21" s="24">
        <f t="shared" si="8"/>
        <v>180953</v>
      </c>
      <c r="Q21" s="24">
        <f t="shared" si="8"/>
        <v>194552</v>
      </c>
      <c r="R21" s="24">
        <f t="shared" si="8"/>
        <v>214682</v>
      </c>
      <c r="S21" s="24">
        <f t="shared" si="8"/>
        <v>228958</v>
      </c>
      <c r="T21" s="24">
        <f t="shared" si="8"/>
        <v>253507</v>
      </c>
      <c r="U21" s="24">
        <f t="shared" si="8"/>
        <v>285114</v>
      </c>
      <c r="V21" s="24">
        <f t="shared" si="8"/>
        <v>319991</v>
      </c>
      <c r="W21" s="24">
        <f t="shared" si="8"/>
        <v>344529</v>
      </c>
      <c r="X21" s="24">
        <f t="shared" si="8"/>
        <v>374646</v>
      </c>
      <c r="Y21" s="24">
        <f t="shared" si="8"/>
        <v>410313</v>
      </c>
      <c r="Z21" s="57">
        <f>Y21</f>
        <v>410313</v>
      </c>
    </row>
    <row r="22" ht="15.75" customHeight="1"/>
    <row r="23" ht="15.75" customHeight="1">
      <c r="A23" s="6" t="s">
        <v>467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49" t="s">
        <v>468</v>
      </c>
      <c r="B24" s="8">
        <f>'P&amp;L'!B172</f>
        <v>438821</v>
      </c>
      <c r="C24" s="8">
        <f>'P&amp;L'!C172</f>
        <v>423842</v>
      </c>
      <c r="D24" s="8">
        <f>'P&amp;L'!D172</f>
        <v>304648</v>
      </c>
      <c r="E24" s="8">
        <f>'P&amp;L'!E172</f>
        <v>287933</v>
      </c>
      <c r="F24" s="8">
        <f>'P&amp;L'!F172</f>
        <v>272462</v>
      </c>
      <c r="G24" s="8">
        <f>'P&amp;L'!G172</f>
        <v>256280</v>
      </c>
      <c r="H24" s="8">
        <f>'P&amp;L'!H172</f>
        <v>242889</v>
      </c>
      <c r="I24" s="8">
        <f>'P&amp;L'!I172</f>
        <v>233067</v>
      </c>
      <c r="J24" s="8">
        <f>'P&amp;L'!J172</f>
        <v>226811</v>
      </c>
      <c r="K24" s="8">
        <f>'P&amp;L'!K172</f>
        <v>224783</v>
      </c>
      <c r="L24" s="8">
        <f>'P&amp;L'!L172</f>
        <v>226729</v>
      </c>
      <c r="M24" s="8">
        <f>'P&amp;L'!M172</f>
        <v>233330</v>
      </c>
      <c r="N24" s="8">
        <f>'P&amp;L'!N172</f>
        <v>244435</v>
      </c>
      <c r="O24" s="8">
        <f>'P&amp;L'!O172</f>
        <v>241462</v>
      </c>
      <c r="P24" s="8">
        <f>'P&amp;L'!P172</f>
        <v>262553</v>
      </c>
      <c r="Q24" s="8">
        <f>'P&amp;L'!Q172</f>
        <v>290252</v>
      </c>
      <c r="R24" s="8">
        <f>'P&amp;L'!R172</f>
        <v>324482</v>
      </c>
      <c r="S24" s="8">
        <f>'P&amp;L'!S172</f>
        <v>352858</v>
      </c>
      <c r="T24" s="8">
        <f>'P&amp;L'!T172</f>
        <v>391507</v>
      </c>
      <c r="U24" s="8">
        <f>'P&amp;L'!U172</f>
        <v>437214</v>
      </c>
      <c r="V24" s="8">
        <f>'P&amp;L'!V172</f>
        <v>490891</v>
      </c>
      <c r="W24" s="8">
        <f>'P&amp;L'!W172</f>
        <v>534229</v>
      </c>
      <c r="X24" s="8">
        <f>'P&amp;L'!X172</f>
        <v>583146</v>
      </c>
      <c r="Y24" s="8">
        <f>'P&amp;L'!Y172</f>
        <v>637613</v>
      </c>
      <c r="Z24" s="8">
        <f t="shared" ref="Z24:Z26" si="10">SUM(B24:Y24)</f>
        <v>8162237</v>
      </c>
    </row>
    <row r="25" ht="15.75" customHeight="1">
      <c r="A25" s="49" t="s">
        <v>469</v>
      </c>
      <c r="B25" s="8">
        <f t="shared" ref="B25:Y25" si="9">B21</f>
        <v>438821</v>
      </c>
      <c r="C25" s="8">
        <f t="shared" si="9"/>
        <v>423842</v>
      </c>
      <c r="D25" s="8">
        <f t="shared" si="9"/>
        <v>293548</v>
      </c>
      <c r="E25" s="8">
        <f t="shared" si="9"/>
        <v>274483</v>
      </c>
      <c r="F25" s="8">
        <f t="shared" si="9"/>
        <v>256662</v>
      </c>
      <c r="G25" s="8">
        <f t="shared" si="9"/>
        <v>238130</v>
      </c>
      <c r="H25" s="8">
        <f t="shared" si="9"/>
        <v>220039</v>
      </c>
      <c r="I25" s="8">
        <f t="shared" si="9"/>
        <v>205517</v>
      </c>
      <c r="J25" s="8">
        <f t="shared" si="9"/>
        <v>194561</v>
      </c>
      <c r="K25" s="8">
        <f t="shared" si="9"/>
        <v>185483</v>
      </c>
      <c r="L25" s="8">
        <f t="shared" si="9"/>
        <v>180379</v>
      </c>
      <c r="M25" s="8">
        <f t="shared" si="9"/>
        <v>179930</v>
      </c>
      <c r="N25" s="8">
        <f t="shared" si="9"/>
        <v>181635</v>
      </c>
      <c r="O25" s="8">
        <f t="shared" si="9"/>
        <v>169262</v>
      </c>
      <c r="P25" s="8">
        <f t="shared" si="9"/>
        <v>180953</v>
      </c>
      <c r="Q25" s="8">
        <f t="shared" si="9"/>
        <v>194552</v>
      </c>
      <c r="R25" s="8">
        <f t="shared" si="9"/>
        <v>214682</v>
      </c>
      <c r="S25" s="8">
        <f t="shared" si="9"/>
        <v>228958</v>
      </c>
      <c r="T25" s="8">
        <f t="shared" si="9"/>
        <v>253507</v>
      </c>
      <c r="U25" s="8">
        <f t="shared" si="9"/>
        <v>285114</v>
      </c>
      <c r="V25" s="8">
        <f t="shared" si="9"/>
        <v>319991</v>
      </c>
      <c r="W25" s="8">
        <f t="shared" si="9"/>
        <v>344529</v>
      </c>
      <c r="X25" s="8">
        <f t="shared" si="9"/>
        <v>374646</v>
      </c>
      <c r="Y25" s="8">
        <f t="shared" si="9"/>
        <v>410313</v>
      </c>
      <c r="Z25" s="8">
        <f t="shared" si="10"/>
        <v>6249537</v>
      </c>
    </row>
    <row r="26" ht="15.75" customHeight="1">
      <c r="A26" s="53" t="s">
        <v>470</v>
      </c>
      <c r="B26" s="54">
        <f t="shared" ref="B26:Y26" si="11">B25-B24</f>
        <v>0</v>
      </c>
      <c r="C26" s="54">
        <f t="shared" si="11"/>
        <v>0</v>
      </c>
      <c r="D26" s="54">
        <f t="shared" si="11"/>
        <v>-11100</v>
      </c>
      <c r="E26" s="54">
        <f t="shared" si="11"/>
        <v>-13450</v>
      </c>
      <c r="F26" s="54">
        <f t="shared" si="11"/>
        <v>-15800</v>
      </c>
      <c r="G26" s="54">
        <f t="shared" si="11"/>
        <v>-18150</v>
      </c>
      <c r="H26" s="54">
        <f t="shared" si="11"/>
        <v>-22850</v>
      </c>
      <c r="I26" s="54">
        <f t="shared" si="11"/>
        <v>-27550</v>
      </c>
      <c r="J26" s="54">
        <f t="shared" si="11"/>
        <v>-32250</v>
      </c>
      <c r="K26" s="54">
        <f t="shared" si="11"/>
        <v>-39300</v>
      </c>
      <c r="L26" s="54">
        <f t="shared" si="11"/>
        <v>-46350</v>
      </c>
      <c r="M26" s="54">
        <f t="shared" si="11"/>
        <v>-53400</v>
      </c>
      <c r="N26" s="54">
        <f t="shared" si="11"/>
        <v>-62800</v>
      </c>
      <c r="O26" s="54">
        <f t="shared" si="11"/>
        <v>-72200</v>
      </c>
      <c r="P26" s="54">
        <f t="shared" si="11"/>
        <v>-81600</v>
      </c>
      <c r="Q26" s="54">
        <f t="shared" si="11"/>
        <v>-95700</v>
      </c>
      <c r="R26" s="54">
        <f t="shared" si="11"/>
        <v>-109800</v>
      </c>
      <c r="S26" s="54">
        <f t="shared" si="11"/>
        <v>-123900</v>
      </c>
      <c r="T26" s="54">
        <f t="shared" si="11"/>
        <v>-138000</v>
      </c>
      <c r="U26" s="54">
        <f t="shared" si="11"/>
        <v>-152100</v>
      </c>
      <c r="V26" s="54">
        <f t="shared" si="11"/>
        <v>-170900</v>
      </c>
      <c r="W26" s="54">
        <f t="shared" si="11"/>
        <v>-189700</v>
      </c>
      <c r="X26" s="54">
        <f t="shared" si="11"/>
        <v>-208500</v>
      </c>
      <c r="Y26" s="54">
        <f t="shared" si="11"/>
        <v>-227300</v>
      </c>
      <c r="Z26" s="54">
        <f t="shared" si="10"/>
        <v>-1912700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7A8A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6.0"/>
    <col customWidth="1" min="2" max="26" width="11.0"/>
  </cols>
  <sheetData>
    <row r="1">
      <c r="A1" s="36" t="s">
        <v>471</v>
      </c>
    </row>
    <row r="2">
      <c r="A2" s="37" t="s">
        <v>472</v>
      </c>
    </row>
    <row r="3">
      <c r="A3" s="6" t="s">
        <v>432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4" t="s">
        <v>17</v>
      </c>
      <c r="P3" s="4" t="s">
        <v>18</v>
      </c>
      <c r="Q3" s="4" t="s">
        <v>19</v>
      </c>
      <c r="R3" s="4" t="s">
        <v>20</v>
      </c>
      <c r="S3" s="4" t="s">
        <v>21</v>
      </c>
      <c r="T3" s="4" t="s">
        <v>22</v>
      </c>
      <c r="U3" s="4" t="s">
        <v>23</v>
      </c>
      <c r="V3" s="4" t="s">
        <v>24</v>
      </c>
      <c r="W3" s="4" t="s">
        <v>25</v>
      </c>
      <c r="X3" s="4" t="s">
        <v>26</v>
      </c>
      <c r="Y3" s="4" t="s">
        <v>27</v>
      </c>
      <c r="Z3" s="6" t="s">
        <v>28</v>
      </c>
    </row>
    <row r="4">
      <c r="A4" s="13" t="s">
        <v>473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48" t="s">
        <v>474</v>
      </c>
      <c r="B5" s="58">
        <f>IF('Growth Curves'!B17&gt;0,ROUND('P&amp;L'!B42/'Growth Curves'!B17,2),0)</f>
        <v>0</v>
      </c>
      <c r="C5" s="58">
        <f>IF('Growth Curves'!C17&gt;0,ROUND('P&amp;L'!C42/'Growth Curves'!C17,2),0)</f>
        <v>0</v>
      </c>
      <c r="D5" s="58">
        <f>IF('Growth Curves'!D17&gt;0,ROUND('P&amp;L'!D42/'Growth Curves'!D17,2),0)</f>
        <v>0</v>
      </c>
      <c r="E5" s="58">
        <f>IF('Growth Curves'!E17&gt;0,ROUND('P&amp;L'!E42/'Growth Curves'!E17,2),0)</f>
        <v>35.13</v>
      </c>
      <c r="F5" s="58">
        <f>IF('Growth Curves'!F17&gt;0,ROUND('P&amp;L'!F42/'Growth Curves'!F17,2),0)</f>
        <v>37.38</v>
      </c>
      <c r="G5" s="58">
        <f>IF('Growth Curves'!G17&gt;0,ROUND('P&amp;L'!G42/'Growth Curves'!G17,2),0)</f>
        <v>36.79</v>
      </c>
      <c r="H5" s="58">
        <f>IF('Growth Curves'!H17&gt;0,ROUND('P&amp;L'!H42/'Growth Curves'!H17,2),0)</f>
        <v>36.59</v>
      </c>
      <c r="I5" s="58">
        <f>IF('Growth Curves'!I17&gt;0,ROUND('P&amp;L'!I42/'Growth Curves'!I17,2),0)</f>
        <v>36.15</v>
      </c>
      <c r="J5" s="58">
        <f>IF('Growth Curves'!J17&gt;0,ROUND('P&amp;L'!J42/'Growth Curves'!J17,2),0)</f>
        <v>36.56</v>
      </c>
      <c r="K5" s="58">
        <f>IF('Growth Curves'!K17&gt;0,ROUND('P&amp;L'!K42/'Growth Curves'!K17,2),0)</f>
        <v>37.12</v>
      </c>
      <c r="L5" s="58">
        <f>IF('Growth Curves'!L17&gt;0,ROUND('P&amp;L'!L42/'Growth Curves'!L17,2),0)</f>
        <v>36.72</v>
      </c>
      <c r="M5" s="58">
        <f>IF('Growth Curves'!M17&gt;0,ROUND('P&amp;L'!M42/'Growth Curves'!M17,2),0)</f>
        <v>36.48</v>
      </c>
      <c r="N5" s="58">
        <f>IF('Growth Curves'!N17&gt;0,ROUND('P&amp;L'!N42/'Growth Curves'!N17,2),0)</f>
        <v>36.55</v>
      </c>
      <c r="O5" s="58">
        <f>IF('Growth Curves'!O17&gt;0,ROUND('P&amp;L'!O42/'Growth Curves'!O17,2),0)</f>
        <v>36.49</v>
      </c>
      <c r="P5" s="58">
        <f>IF('Growth Curves'!P17&gt;0,ROUND('P&amp;L'!P42/'Growth Curves'!P17,2),0)</f>
        <v>36.31</v>
      </c>
      <c r="Q5" s="58">
        <f>IF('Growth Curves'!Q17&gt;0,ROUND('P&amp;L'!Q42/'Growth Curves'!Q17,2),0)</f>
        <v>36.45</v>
      </c>
      <c r="R5" s="58">
        <f>IF('Growth Curves'!R17&gt;0,ROUND('P&amp;L'!R42/'Growth Curves'!R17,2),0)</f>
        <v>36.6</v>
      </c>
      <c r="S5" s="58">
        <f>IF('Growth Curves'!S17&gt;0,ROUND('P&amp;L'!S42/'Growth Curves'!S17,2),0)</f>
        <v>36.51</v>
      </c>
      <c r="T5" s="58">
        <f>IF('Growth Curves'!T17&gt;0,ROUND('P&amp;L'!T42/'Growth Curves'!T17,2),0)</f>
        <v>36.59</v>
      </c>
      <c r="U5" s="58">
        <f>IF('Growth Curves'!U17&gt;0,ROUND('P&amp;L'!U42/'Growth Curves'!U17,2),0)</f>
        <v>36.44</v>
      </c>
      <c r="V5" s="58">
        <f>IF('Growth Curves'!V17&gt;0,ROUND('P&amp;L'!V42/'Growth Curves'!V17,2),0)</f>
        <v>36.51</v>
      </c>
      <c r="W5" s="58">
        <f>IF('Growth Curves'!W17&gt;0,ROUND('P&amp;L'!W42/'Growth Curves'!W17,2),0)</f>
        <v>36.47</v>
      </c>
      <c r="X5" s="58">
        <f>IF('Growth Curves'!X17&gt;0,ROUND('P&amp;L'!X42/'Growth Curves'!X17,2),0)</f>
        <v>36.41</v>
      </c>
      <c r="Y5" s="58">
        <f>IF('Growth Curves'!Y17&gt;0,ROUND('P&amp;L'!Y42/'Growth Curves'!Y17,2),0)</f>
        <v>36.54</v>
      </c>
      <c r="Z5" s="58">
        <f t="shared" ref="Z5:Z9" si="1">Y5</f>
        <v>36.54</v>
      </c>
    </row>
    <row r="6">
      <c r="A6" s="48" t="s">
        <v>475</v>
      </c>
      <c r="B6" s="22">
        <f>IF('Growth Curves'!B17&gt;0,ROUND(('P&amp;L'!B42/'Growth Curves'!B17)/Assumptions!B8,0),0)</f>
        <v>0</v>
      </c>
      <c r="C6" s="22">
        <f>IF('Growth Curves'!C17&gt;0,ROUND(('P&amp;L'!C42/'Growth Curves'!C17)/Assumptions!B8,0),0)</f>
        <v>0</v>
      </c>
      <c r="D6" s="22">
        <f>IF('Growth Curves'!D17&gt;0,ROUND(('P&amp;L'!D42/'Growth Curves'!D17)/Assumptions!B8,0),0)</f>
        <v>0</v>
      </c>
      <c r="E6" s="22">
        <f>IF('Growth Curves'!E17&gt;0,ROUND(('P&amp;L'!E42/'Growth Curves'!E17)/Assumptions!B8,0),0)</f>
        <v>439</v>
      </c>
      <c r="F6" s="22">
        <f>IF('Growth Curves'!F17&gt;0,ROUND(('P&amp;L'!F42/'Growth Curves'!F17)/Assumptions!B8,0),0)</f>
        <v>467</v>
      </c>
      <c r="G6" s="22">
        <f>IF('Growth Curves'!G17&gt;0,ROUND(('P&amp;L'!G42/'Growth Curves'!G17)/Assumptions!B8,0),0)</f>
        <v>460</v>
      </c>
      <c r="H6" s="22">
        <f>IF('Growth Curves'!H17&gt;0,ROUND(('P&amp;L'!H42/'Growth Curves'!H17)/Assumptions!B8,0),0)</f>
        <v>457</v>
      </c>
      <c r="I6" s="22">
        <f>IF('Growth Curves'!I17&gt;0,ROUND(('P&amp;L'!I42/'Growth Curves'!I17)/Assumptions!B8,0),0)</f>
        <v>452</v>
      </c>
      <c r="J6" s="22">
        <f>IF('Growth Curves'!J17&gt;0,ROUND(('P&amp;L'!J42/'Growth Curves'!J17)/Assumptions!B8,0),0)</f>
        <v>457</v>
      </c>
      <c r="K6" s="22">
        <f>IF('Growth Curves'!K17&gt;0,ROUND(('P&amp;L'!K42/'Growth Curves'!K17)/Assumptions!B8,0),0)</f>
        <v>464</v>
      </c>
      <c r="L6" s="22">
        <f>IF('Growth Curves'!L17&gt;0,ROUND(('P&amp;L'!L42/'Growth Curves'!L17)/Assumptions!B8,0),0)</f>
        <v>459</v>
      </c>
      <c r="M6" s="22">
        <f>IF('Growth Curves'!M17&gt;0,ROUND(('P&amp;L'!M42/'Growth Curves'!M17)/Assumptions!B8,0),0)</f>
        <v>456</v>
      </c>
      <c r="N6" s="22">
        <f>IF('Growth Curves'!N17&gt;0,ROUND(('P&amp;L'!N42/'Growth Curves'!N17)/Assumptions!B8,0),0)</f>
        <v>457</v>
      </c>
      <c r="O6" s="22">
        <f>IF('Growth Curves'!O17&gt;0,ROUND(('P&amp;L'!O42/'Growth Curves'!O17)/Assumptions!B8,0),0)</f>
        <v>456</v>
      </c>
      <c r="P6" s="22">
        <f>IF('Growth Curves'!P17&gt;0,ROUND(('P&amp;L'!P42/'Growth Curves'!P17)/Assumptions!B8,0),0)</f>
        <v>454</v>
      </c>
      <c r="Q6" s="22">
        <f>IF('Growth Curves'!Q17&gt;0,ROUND(('P&amp;L'!Q42/'Growth Curves'!Q17)/Assumptions!B8,0),0)</f>
        <v>456</v>
      </c>
      <c r="R6" s="22">
        <f>IF('Growth Curves'!R17&gt;0,ROUND(('P&amp;L'!R42/'Growth Curves'!R17)/Assumptions!B8,0),0)</f>
        <v>458</v>
      </c>
      <c r="S6" s="22">
        <f>IF('Growth Curves'!S17&gt;0,ROUND(('P&amp;L'!S42/'Growth Curves'!S17)/Assumptions!B8,0),0)</f>
        <v>456</v>
      </c>
      <c r="T6" s="22">
        <f>IF('Growth Curves'!T17&gt;0,ROUND(('P&amp;L'!T42/'Growth Curves'!T17)/Assumptions!B8,0),0)</f>
        <v>457</v>
      </c>
      <c r="U6" s="22">
        <f>IF('Growth Curves'!U17&gt;0,ROUND(('P&amp;L'!U42/'Growth Curves'!U17)/Assumptions!B8,0),0)</f>
        <v>456</v>
      </c>
      <c r="V6" s="22">
        <f>IF('Growth Curves'!V17&gt;0,ROUND(('P&amp;L'!V42/'Growth Curves'!V17)/Assumptions!B8,0),0)</f>
        <v>456</v>
      </c>
      <c r="W6" s="22">
        <f>IF('Growth Curves'!W17&gt;0,ROUND(('P&amp;L'!W42/'Growth Curves'!W17)/Assumptions!B8,0),0)</f>
        <v>456</v>
      </c>
      <c r="X6" s="22">
        <f>IF('Growth Curves'!X17&gt;0,ROUND(('P&amp;L'!X42/'Growth Curves'!X17)/Assumptions!B8,0),0)</f>
        <v>455</v>
      </c>
      <c r="Y6" s="22">
        <f>IF('Growth Curves'!Y17&gt;0,ROUND(('P&amp;L'!Y42/'Growth Curves'!Y17)/Assumptions!B8,0),0)</f>
        <v>457</v>
      </c>
      <c r="Z6" s="22">
        <f t="shared" si="1"/>
        <v>457</v>
      </c>
    </row>
    <row r="7">
      <c r="A7" s="48" t="s">
        <v>476</v>
      </c>
      <c r="B7" s="22">
        <f>IF('Growth Curves'!B15&gt;0,ROUND('Growth Curves'!B10/'Growth Curves'!B15,0),0)</f>
        <v>0</v>
      </c>
      <c r="C7" s="22">
        <f>IF('Growth Curves'!C15&gt;0,ROUND('Growth Curves'!C10/'Growth Curves'!C15,0),0)</f>
        <v>0</v>
      </c>
      <c r="D7" s="22">
        <f>IF('Growth Curves'!D15&gt;0,ROUND('Growth Curves'!D10/'Growth Curves'!D15,0),0)</f>
        <v>0</v>
      </c>
      <c r="E7" s="22">
        <f>IF('Growth Curves'!E15&gt;0,ROUND('Growth Curves'!E10/'Growth Curves'!E15,0),0)</f>
        <v>13</v>
      </c>
      <c r="F7" s="22">
        <f>IF('Growth Curves'!F15&gt;0,ROUND('Growth Curves'!F10/'Growth Curves'!F15,0),0)</f>
        <v>27</v>
      </c>
      <c r="G7" s="22">
        <f>IF('Growth Curves'!G15&gt;0,ROUND('Growth Curves'!G10/'Growth Curves'!G15,0),0)</f>
        <v>40</v>
      </c>
      <c r="H7" s="22">
        <f>IF('Growth Curves'!H15&gt;0,ROUND('Growth Curves'!H10/'Growth Curves'!H15,0),0)</f>
        <v>36</v>
      </c>
      <c r="I7" s="22">
        <f>IF('Growth Curves'!I15&gt;0,ROUND('Growth Curves'!I10/'Growth Curves'!I15,0),0)</f>
        <v>36</v>
      </c>
      <c r="J7" s="22">
        <f>IF('Growth Curves'!J15&gt;0,ROUND('Growth Curves'!J10/'Growth Curves'!J15,0),0)</f>
        <v>45</v>
      </c>
      <c r="K7" s="22">
        <f>IF('Growth Curves'!K15&gt;0,ROUND('Growth Curves'!K10/'Growth Curves'!K15,0),0)</f>
        <v>43</v>
      </c>
      <c r="L7" s="22">
        <f>IF('Growth Curves'!L15&gt;0,ROUND('Growth Curves'!L10/'Growth Curves'!L15,0),0)</f>
        <v>50</v>
      </c>
      <c r="M7" s="22">
        <f>IF('Growth Curves'!M15&gt;0,ROUND('Growth Curves'!M10/'Growth Curves'!M15,0),0)</f>
        <v>50</v>
      </c>
      <c r="N7" s="22">
        <f>IF('Growth Curves'!N15&gt;0,ROUND('Growth Curves'!N10/'Growth Curves'!N15,0),0)</f>
        <v>56</v>
      </c>
      <c r="O7" s="22">
        <f>IF('Growth Curves'!O15&gt;0,ROUND('Growth Curves'!O10/'Growth Curves'!O15,0),0)</f>
        <v>56</v>
      </c>
      <c r="P7" s="22">
        <f>IF('Growth Curves'!P15&gt;0,ROUND('Growth Curves'!P10/'Growth Curves'!P15,0),0)</f>
        <v>63</v>
      </c>
      <c r="Q7" s="22">
        <f>IF('Growth Curves'!Q15&gt;0,ROUND('Growth Curves'!Q10/'Growth Curves'!Q15,0),0)</f>
        <v>63</v>
      </c>
      <c r="R7" s="22">
        <f>IF('Growth Curves'!R15&gt;0,ROUND('Growth Curves'!R10/'Growth Curves'!R15,0),0)</f>
        <v>69</v>
      </c>
      <c r="S7" s="22">
        <f>IF('Growth Curves'!S15&gt;0,ROUND('Growth Curves'!S10/'Growth Curves'!S15,0),0)</f>
        <v>69</v>
      </c>
      <c r="T7" s="22">
        <f>IF('Growth Curves'!T15&gt;0,ROUND('Growth Curves'!T10/'Growth Curves'!T15,0),0)</f>
        <v>66</v>
      </c>
      <c r="U7" s="22">
        <f>IF('Growth Curves'!U15&gt;0,ROUND('Growth Curves'!U10/'Growth Curves'!U15,0),0)</f>
        <v>66</v>
      </c>
      <c r="V7" s="22">
        <f>IF('Growth Curves'!V15&gt;0,ROUND('Growth Curves'!V10/'Growth Curves'!V15,0),0)</f>
        <v>74</v>
      </c>
      <c r="W7" s="22">
        <f>IF('Growth Curves'!W15&gt;0,ROUND('Growth Curves'!W10/'Growth Curves'!W15,0),0)</f>
        <v>74</v>
      </c>
      <c r="X7" s="22">
        <f>IF('Growth Curves'!X15&gt;0,ROUND('Growth Curves'!X10/'Growth Curves'!X15,0),0)</f>
        <v>79</v>
      </c>
      <c r="Y7" s="22">
        <f>IF('Growth Curves'!Y15&gt;0,ROUND('Growth Curves'!Y10/'Growth Curves'!Y15,0),0)</f>
        <v>79</v>
      </c>
      <c r="Z7" s="22">
        <f t="shared" si="1"/>
        <v>79</v>
      </c>
    </row>
    <row r="8">
      <c r="A8" s="53" t="s">
        <v>477</v>
      </c>
      <c r="B8" s="59">
        <f t="shared" ref="B8:Y8" si="2">IF(B7&gt;0,ROUND(B6/B7,1),0)</f>
        <v>0</v>
      </c>
      <c r="C8" s="59">
        <f t="shared" si="2"/>
        <v>0</v>
      </c>
      <c r="D8" s="59">
        <f t="shared" si="2"/>
        <v>0</v>
      </c>
      <c r="E8" s="59">
        <f t="shared" si="2"/>
        <v>33.8</v>
      </c>
      <c r="F8" s="59">
        <f t="shared" si="2"/>
        <v>17.3</v>
      </c>
      <c r="G8" s="59">
        <f t="shared" si="2"/>
        <v>11.5</v>
      </c>
      <c r="H8" s="59">
        <f t="shared" si="2"/>
        <v>12.7</v>
      </c>
      <c r="I8" s="59">
        <f t="shared" si="2"/>
        <v>12.6</v>
      </c>
      <c r="J8" s="59">
        <f t="shared" si="2"/>
        <v>10.2</v>
      </c>
      <c r="K8" s="59">
        <f t="shared" si="2"/>
        <v>10.8</v>
      </c>
      <c r="L8" s="59">
        <f t="shared" si="2"/>
        <v>9.2</v>
      </c>
      <c r="M8" s="59">
        <f t="shared" si="2"/>
        <v>9.1</v>
      </c>
      <c r="N8" s="59">
        <f t="shared" si="2"/>
        <v>8.2</v>
      </c>
      <c r="O8" s="59">
        <f t="shared" si="2"/>
        <v>8.1</v>
      </c>
      <c r="P8" s="59">
        <f t="shared" si="2"/>
        <v>7.2</v>
      </c>
      <c r="Q8" s="59">
        <f t="shared" si="2"/>
        <v>7.2</v>
      </c>
      <c r="R8" s="59">
        <f t="shared" si="2"/>
        <v>6.6</v>
      </c>
      <c r="S8" s="59">
        <f t="shared" si="2"/>
        <v>6.6</v>
      </c>
      <c r="T8" s="59">
        <f t="shared" si="2"/>
        <v>6.9</v>
      </c>
      <c r="U8" s="59">
        <f t="shared" si="2"/>
        <v>6.9</v>
      </c>
      <c r="V8" s="59">
        <f t="shared" si="2"/>
        <v>6.2</v>
      </c>
      <c r="W8" s="59">
        <f t="shared" si="2"/>
        <v>6.2</v>
      </c>
      <c r="X8" s="59">
        <f t="shared" si="2"/>
        <v>5.8</v>
      </c>
      <c r="Y8" s="59">
        <f t="shared" si="2"/>
        <v>5.8</v>
      </c>
      <c r="Z8" s="59">
        <f t="shared" si="1"/>
        <v>5.8</v>
      </c>
    </row>
    <row r="9">
      <c r="A9" s="48" t="s">
        <v>478</v>
      </c>
      <c r="B9" s="60">
        <f t="shared" ref="B9:Y9" si="3">IF(AND(B6&gt;0,B5&gt;0),ROUND(B7/B5,1),0)</f>
        <v>0</v>
      </c>
      <c r="C9" s="60">
        <f t="shared" si="3"/>
        <v>0</v>
      </c>
      <c r="D9" s="60">
        <f t="shared" si="3"/>
        <v>0</v>
      </c>
      <c r="E9" s="60">
        <f t="shared" si="3"/>
        <v>0.4</v>
      </c>
      <c r="F9" s="60">
        <f t="shared" si="3"/>
        <v>0.7</v>
      </c>
      <c r="G9" s="60">
        <f t="shared" si="3"/>
        <v>1.1</v>
      </c>
      <c r="H9" s="60">
        <f t="shared" si="3"/>
        <v>1</v>
      </c>
      <c r="I9" s="60">
        <f t="shared" si="3"/>
        <v>1</v>
      </c>
      <c r="J9" s="60">
        <f t="shared" si="3"/>
        <v>1.2</v>
      </c>
      <c r="K9" s="60">
        <f t="shared" si="3"/>
        <v>1.2</v>
      </c>
      <c r="L9" s="60">
        <f t="shared" si="3"/>
        <v>1.4</v>
      </c>
      <c r="M9" s="60">
        <f t="shared" si="3"/>
        <v>1.4</v>
      </c>
      <c r="N9" s="60">
        <f t="shared" si="3"/>
        <v>1.5</v>
      </c>
      <c r="O9" s="60">
        <f t="shared" si="3"/>
        <v>1.5</v>
      </c>
      <c r="P9" s="60">
        <f t="shared" si="3"/>
        <v>1.7</v>
      </c>
      <c r="Q9" s="60">
        <f t="shared" si="3"/>
        <v>1.7</v>
      </c>
      <c r="R9" s="60">
        <f t="shared" si="3"/>
        <v>1.9</v>
      </c>
      <c r="S9" s="60">
        <f t="shared" si="3"/>
        <v>1.9</v>
      </c>
      <c r="T9" s="60">
        <f t="shared" si="3"/>
        <v>1.8</v>
      </c>
      <c r="U9" s="60">
        <f t="shared" si="3"/>
        <v>1.8</v>
      </c>
      <c r="V9" s="60">
        <f t="shared" si="3"/>
        <v>2</v>
      </c>
      <c r="W9" s="60">
        <f t="shared" si="3"/>
        <v>2</v>
      </c>
      <c r="X9" s="60">
        <f t="shared" si="3"/>
        <v>2.2</v>
      </c>
      <c r="Y9" s="60">
        <f t="shared" si="3"/>
        <v>2.2</v>
      </c>
      <c r="Z9" s="60">
        <f t="shared" si="1"/>
        <v>2.2</v>
      </c>
    </row>
    <row r="11">
      <c r="A11" s="13" t="s">
        <v>479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48" t="s">
        <v>480</v>
      </c>
      <c r="B12" s="61">
        <f>IF('P&amp;L'!B17&gt;0,('P&amp;L'!B17-'P&amp;L'!B51-'P&amp;L'!B52-'P&amp;L'!B53)/'P&amp;L'!B17,0)</f>
        <v>0</v>
      </c>
      <c r="C12" s="61">
        <f>IF('P&amp;L'!C17&gt;0,('P&amp;L'!C17-'P&amp;L'!C51-'P&amp;L'!C52-'P&amp;L'!C53)/'P&amp;L'!C17,0)</f>
        <v>0</v>
      </c>
      <c r="D12" s="61">
        <f>IF('P&amp;L'!D17&gt;0,('P&amp;L'!D17-'P&amp;L'!D51-'P&amp;L'!D52-'P&amp;L'!D53)/'P&amp;L'!D17,0)</f>
        <v>0</v>
      </c>
      <c r="E12" s="61">
        <f>IF('P&amp;L'!E17&gt;0,('P&amp;L'!E17-'P&amp;L'!E51-'P&amp;L'!E52-'P&amp;L'!E53)/'P&amp;L'!E17,0)</f>
        <v>0.4142857143</v>
      </c>
      <c r="F12" s="61">
        <f>IF('P&amp;L'!F17&gt;0,('P&amp;L'!F17-'P&amp;L'!F51-'P&amp;L'!F52-'P&amp;L'!F53)/'P&amp;L'!F17,0)</f>
        <v>0.4142857143</v>
      </c>
      <c r="G12" s="61">
        <f>IF('P&amp;L'!G17&gt;0,('P&amp;L'!G17-'P&amp;L'!G51-'P&amp;L'!G52-'P&amp;L'!G53)/'P&amp;L'!G17,0)</f>
        <v>0.4144217687</v>
      </c>
      <c r="H12" s="61">
        <f>IF('P&amp;L'!H17&gt;0,('P&amp;L'!H17-'P&amp;L'!H51-'P&amp;L'!H52-'P&amp;L'!H53)/'P&amp;L'!H17,0)</f>
        <v>0.4143673469</v>
      </c>
      <c r="I12" s="61">
        <f>IF('P&amp;L'!I17&gt;0,('P&amp;L'!I17-'P&amp;L'!I51-'P&amp;L'!I52-'P&amp;L'!I53)/'P&amp;L'!I17,0)</f>
        <v>0.4144023324</v>
      </c>
      <c r="J12" s="61">
        <f>IF('P&amp;L'!J17&gt;0,('P&amp;L'!J17-'P&amp;L'!J51-'P&amp;L'!J52-'P&amp;L'!J53)/'P&amp;L'!J17,0)</f>
        <v>0.4143764172</v>
      </c>
      <c r="K12" s="61">
        <f>IF('P&amp;L'!K17&gt;0,('P&amp;L'!K17-'P&amp;L'!K51-'P&amp;L'!K52-'P&amp;L'!K53)/'P&amp;L'!K17,0)</f>
        <v>0.4143877551</v>
      </c>
      <c r="L12" s="61">
        <f>IF('P&amp;L'!L17&gt;0,('P&amp;L'!L17-'P&amp;L'!L51-'P&amp;L'!L52-'P&amp;L'!L53)/'P&amp;L'!L17,0)</f>
        <v>0.4143945578</v>
      </c>
      <c r="M12" s="61">
        <f>IF('P&amp;L'!M17&gt;0,('P&amp;L'!M17-'P&amp;L'!M51-'P&amp;L'!M52-'P&amp;L'!M53)/'P&amp;L'!M17,0)</f>
        <v>0.4143764172</v>
      </c>
      <c r="N12" s="61">
        <f>IF('P&amp;L'!N17&gt;0,('P&amp;L'!N17-'P&amp;L'!N51-'P&amp;L'!N52-'P&amp;L'!N53)/'P&amp;L'!N17,0)</f>
        <v>0.4143784787</v>
      </c>
      <c r="O12" s="61">
        <f>IF('P&amp;L'!O17&gt;0,('P&amp;L'!O17-'P&amp;L'!O51-'P&amp;L'!O52-'P&amp;L'!O53)/'P&amp;L'!O17,0)</f>
        <v>0.4143799058</v>
      </c>
      <c r="P12" s="61">
        <f>IF('P&amp;L'!P17&gt;0,('P&amp;L'!P17-'P&amp;L'!P51-'P&amp;L'!P52-'P&amp;L'!P53)/'P&amp;L'!P17,0)</f>
        <v>0.4143809524</v>
      </c>
      <c r="Q12" s="61">
        <f>IF('P&amp;L'!Q17&gt;0,('P&amp;L'!Q17-'P&amp;L'!Q51-'P&amp;L'!Q52-'P&amp;L'!Q53)/'P&amp;L'!Q17,0)</f>
        <v>0.4143877551</v>
      </c>
      <c r="R12" s="61">
        <f>IF('P&amp;L'!R17&gt;0,('P&amp;L'!R17-'P&amp;L'!R51-'P&amp;L'!R52-'P&amp;L'!R53)/'P&amp;L'!R17,0)</f>
        <v>0.414382896</v>
      </c>
      <c r="S12" s="61">
        <f>IF('P&amp;L'!S17&gt;0,('P&amp;L'!S17-'P&amp;L'!S51-'P&amp;L'!S52-'P&amp;L'!S53)/'P&amp;L'!S17,0)</f>
        <v>0.4143877551</v>
      </c>
      <c r="T12" s="61">
        <f>IF('P&amp;L'!T17&gt;0,('P&amp;L'!T17-'P&amp;L'!T51-'P&amp;L'!T52-'P&amp;L'!T53)/'P&amp;L'!T17,0)</f>
        <v>0.4143839758</v>
      </c>
      <c r="U12" s="61">
        <f>IF('P&amp;L'!U17&gt;0,('P&amp;L'!U17-'P&amp;L'!U51-'P&amp;L'!U52-'P&amp;L'!U53)/'P&amp;L'!U17,0)</f>
        <v>0.4143877551</v>
      </c>
      <c r="V12" s="61">
        <f>IF('P&amp;L'!V17&gt;0,('P&amp;L'!V17-'P&amp;L'!V51-'P&amp;L'!V52-'P&amp;L'!V53)/'P&amp;L'!V17,0)</f>
        <v>0.4143877551</v>
      </c>
      <c r="W12" s="61">
        <f>IF('P&amp;L'!W17&gt;0,('P&amp;L'!W17-'P&amp;L'!W51-'P&amp;L'!W52-'P&amp;L'!W53)/'P&amp;L'!W17,0)</f>
        <v>0.4143877551</v>
      </c>
      <c r="X12" s="61">
        <f>IF('P&amp;L'!X17&gt;0,('P&amp;L'!X17-'P&amp;L'!X51-'P&amp;L'!X52-'P&amp;L'!X53)/'P&amp;L'!X17,0)</f>
        <v>0.4143877551</v>
      </c>
      <c r="Y12" s="61">
        <f>IF('P&amp;L'!Y17&gt;0,('P&amp;L'!Y17-'P&amp;L'!Y51-'P&amp;L'!Y52-'P&amp;L'!Y53)/'P&amp;L'!Y17,0)</f>
        <v>0.4143877551</v>
      </c>
      <c r="Z12" s="61">
        <f t="shared" ref="Z12:Z15" si="4">Y12</f>
        <v>0.4143877551</v>
      </c>
    </row>
    <row r="13">
      <c r="A13" s="48" t="s">
        <v>481</v>
      </c>
      <c r="B13" s="61">
        <f>IF('P&amp;L'!B21&gt;0,('P&amp;L'!B21-'P&amp;L'!B54)/'P&amp;L'!B21,0)</f>
        <v>0</v>
      </c>
      <c r="C13" s="61">
        <f>IF('P&amp;L'!C21&gt;0,('P&amp;L'!C21-'P&amp;L'!C54)/'P&amp;L'!C21,0)</f>
        <v>0</v>
      </c>
      <c r="D13" s="61">
        <f>IF('P&amp;L'!D21&gt;0,('P&amp;L'!D21-'P&amp;L'!D54)/'P&amp;L'!D21,0)</f>
        <v>0</v>
      </c>
      <c r="E13" s="61">
        <f>IF('P&amp;L'!E21&gt;0,('P&amp;L'!E21-'P&amp;L'!E54)/'P&amp;L'!E21,0)</f>
        <v>0</v>
      </c>
      <c r="F13" s="61">
        <f>IF('P&amp;L'!F21&gt;0,('P&amp;L'!F21-'P&amp;L'!F54)/'P&amp;L'!F21,0)</f>
        <v>0</v>
      </c>
      <c r="G13" s="61">
        <f>IF('P&amp;L'!G21&gt;0,('P&amp;L'!G21-'P&amp;L'!G54)/'P&amp;L'!G21,0)</f>
        <v>0</v>
      </c>
      <c r="H13" s="61">
        <f>IF('P&amp;L'!H21&gt;0,('P&amp;L'!H21-'P&amp;L'!H54)/'P&amp;L'!H21,0)</f>
        <v>0</v>
      </c>
      <c r="I13" s="61">
        <f>IF('P&amp;L'!I21&gt;0,('P&amp;L'!I21-'P&amp;L'!I54)/'P&amp;L'!I21,0)</f>
        <v>0</v>
      </c>
      <c r="J13" s="61">
        <f>IF('P&amp;L'!J21&gt;0,('P&amp;L'!J21-'P&amp;L'!J54)/'P&amp;L'!J21,0)</f>
        <v>0</v>
      </c>
      <c r="K13" s="61">
        <f>IF('P&amp;L'!K21&gt;0,('P&amp;L'!K21-'P&amp;L'!K54)/'P&amp;L'!K21,0)</f>
        <v>0</v>
      </c>
      <c r="L13" s="61">
        <f>IF('P&amp;L'!L21&gt;0,('P&amp;L'!L21-'P&amp;L'!L54)/'P&amp;L'!L21,0)</f>
        <v>0</v>
      </c>
      <c r="M13" s="61">
        <f>IF('P&amp;L'!M21&gt;0,('P&amp;L'!M21-'P&amp;L'!M54)/'P&amp;L'!M21,0)</f>
        <v>0</v>
      </c>
      <c r="N13" s="61">
        <f>IF('P&amp;L'!N21&gt;0,('P&amp;L'!N21-'P&amp;L'!N54)/'P&amp;L'!N21,0)</f>
        <v>0</v>
      </c>
      <c r="O13" s="61">
        <f>IF('P&amp;L'!O21&gt;0,('P&amp;L'!O21-'P&amp;L'!O54)/'P&amp;L'!O21,0)</f>
        <v>0</v>
      </c>
      <c r="P13" s="61">
        <f>IF('P&amp;L'!P21&gt;0,('P&amp;L'!P21-'P&amp;L'!P54)/'P&amp;L'!P21,0)</f>
        <v>0</v>
      </c>
      <c r="Q13" s="61">
        <f>IF('P&amp;L'!Q21&gt;0,('P&amp;L'!Q21-'P&amp;L'!Q54)/'P&amp;L'!Q21,0)</f>
        <v>0</v>
      </c>
      <c r="R13" s="61">
        <f>IF('P&amp;L'!R21&gt;0,('P&amp;L'!R21-'P&amp;L'!R54)/'P&amp;L'!R21,0)</f>
        <v>0</v>
      </c>
      <c r="S13" s="61">
        <f>IF('P&amp;L'!S21&gt;0,('P&amp;L'!S21-'P&amp;L'!S54)/'P&amp;L'!S21,0)</f>
        <v>0</v>
      </c>
      <c r="T13" s="61">
        <f>IF('P&amp;L'!T21&gt;0,('P&amp;L'!T21-'P&amp;L'!T54)/'P&amp;L'!T21,0)</f>
        <v>0</v>
      </c>
      <c r="U13" s="61">
        <f>IF('P&amp;L'!U21&gt;0,('P&amp;L'!U21-'P&amp;L'!U54)/'P&amp;L'!U21,0)</f>
        <v>0</v>
      </c>
      <c r="V13" s="61">
        <f>IF('P&amp;L'!V21&gt;0,('P&amp;L'!V21-'P&amp;L'!V54)/'P&amp;L'!V21,0)</f>
        <v>0</v>
      </c>
      <c r="W13" s="61">
        <f>IF('P&amp;L'!W21&gt;0,('P&amp;L'!W21-'P&amp;L'!W54)/'P&amp;L'!W21,0)</f>
        <v>0</v>
      </c>
      <c r="X13" s="61">
        <f>IF('P&amp;L'!X21&gt;0,('P&amp;L'!X21-'P&amp;L'!X54)/'P&amp;L'!X21,0)</f>
        <v>0</v>
      </c>
      <c r="Y13" s="61">
        <f>IF('P&amp;L'!Y21&gt;0,('P&amp;L'!Y21-'P&amp;L'!Y54)/'P&amp;L'!Y21,0)</f>
        <v>0</v>
      </c>
      <c r="Z13" s="61">
        <f t="shared" si="4"/>
        <v>0</v>
      </c>
    </row>
    <row r="14">
      <c r="A14" s="48" t="s">
        <v>482</v>
      </c>
      <c r="B14" s="61">
        <f>IF('P&amp;L'!B25&gt;0,('P&amp;L'!B25-'P&amp;L'!B56)/'P&amp;L'!B25,0)</f>
        <v>0</v>
      </c>
      <c r="C14" s="61">
        <f>IF('P&amp;L'!C25&gt;0,('P&amp;L'!C25-'P&amp;L'!C56)/'P&amp;L'!C25,0)</f>
        <v>0</v>
      </c>
      <c r="D14" s="61">
        <f>IF('P&amp;L'!D25&gt;0,('P&amp;L'!D25-'P&amp;L'!D56)/'P&amp;L'!D25,0)</f>
        <v>0</v>
      </c>
      <c r="E14" s="61">
        <f>IF('P&amp;L'!E25&gt;0,('P&amp;L'!E25-'P&amp;L'!E56)/'P&amp;L'!E25,0)</f>
        <v>0.6504653568</v>
      </c>
      <c r="F14" s="61">
        <f>IF('P&amp;L'!F25&gt;0,('P&amp;L'!F25-'P&amp;L'!F56)/'P&amp;L'!F25,0)</f>
        <v>0.649896623</v>
      </c>
      <c r="G14" s="61">
        <f>IF('P&amp;L'!G25&gt;0,('P&amp;L'!G25-'P&amp;L'!G56)/'P&amp;L'!G25,0)</f>
        <v>0.6501240695</v>
      </c>
      <c r="H14" s="61">
        <f>IF('P&amp;L'!H25&gt;0,('P&amp;L'!H25-'P&amp;L'!H56)/'P&amp;L'!H25,0)</f>
        <v>0.6499261448</v>
      </c>
      <c r="I14" s="61">
        <f>IF('P&amp;L'!I25&gt;0,('P&amp;L'!I25-'P&amp;L'!I56)/'P&amp;L'!I25,0)</f>
        <v>0.6500459559</v>
      </c>
      <c r="J14" s="61">
        <f>IF('P&amp;L'!J25&gt;0,('P&amp;L'!J25-'P&amp;L'!J56)/'P&amp;L'!J25,0)</f>
        <v>0.6499341982</v>
      </c>
      <c r="K14" s="61">
        <f>IF('P&amp;L'!K25&gt;0,('P&amp;L'!K25-'P&amp;L'!K56)/'P&amp;L'!K25,0)</f>
        <v>0.6500159084</v>
      </c>
      <c r="L14" s="61">
        <f>IF('P&amp;L'!L25&gt;0,('P&amp;L'!L25-'P&amp;L'!L56)/'P&amp;L'!L25,0)</f>
        <v>0.6499379567</v>
      </c>
      <c r="M14" s="61">
        <f>IF('P&amp;L'!M25&gt;0,('P&amp;L'!M25-'P&amp;L'!M56)/'P&amp;L'!M25,0)</f>
        <v>0.65</v>
      </c>
      <c r="N14" s="61">
        <f>IF('P&amp;L'!N25&gt;0,('P&amp;L'!N25-'P&amp;L'!N56)/'P&amp;L'!N25,0)</f>
        <v>0.6500489823</v>
      </c>
      <c r="O14" s="61">
        <f>IF('P&amp;L'!O25&gt;0,('P&amp;L'!O25-'P&amp;L'!O56)/'P&amp;L'!O25,0)</f>
        <v>0.6499901517</v>
      </c>
      <c r="P14" s="61">
        <f>IF('P&amp;L'!P25&gt;0,('P&amp;L'!P25-'P&amp;L'!P56)/'P&amp;L'!P25,0)</f>
        <v>0.650031472</v>
      </c>
      <c r="Q14" s="61">
        <f>IF('P&amp;L'!Q25&gt;0,('P&amp;L'!Q25-'P&amp;L'!Q56)/'P&amp;L'!Q25,0)</f>
        <v>0.6499834547</v>
      </c>
      <c r="R14" s="61">
        <f>IF('P&amp;L'!R25&gt;0,('P&amp;L'!R25-'P&amp;L'!R56)/'P&amp;L'!R25,0)</f>
        <v>0.6500191498</v>
      </c>
      <c r="S14" s="61">
        <f>IF('P&amp;L'!S25&gt;0,('P&amp;L'!S25-'P&amp;L'!S56)/'P&amp;L'!S25,0)</f>
        <v>0.649978605</v>
      </c>
      <c r="T14" s="61">
        <f>IF('P&amp;L'!T25&gt;0,('P&amp;L'!T25-'P&amp;L'!T56)/'P&amp;L'!T25,0)</f>
        <v>0.6500100073</v>
      </c>
      <c r="U14" s="61">
        <f>IF('P&amp;L'!U25&gt;0,('P&amp;L'!U25-'P&amp;L'!U56)/'P&amp;L'!U25,0)</f>
        <v>0.6499749311</v>
      </c>
      <c r="V14" s="61">
        <f>IF('P&amp;L'!V25&gt;0,('P&amp;L'!V25-'P&amp;L'!V56)/'P&amp;L'!V25,0)</f>
        <v>0.6500029546</v>
      </c>
      <c r="W14" s="61">
        <f>IF('P&amp;L'!W25&gt;0,('P&amp;L'!W25-'P&amp;L'!W56)/'P&amp;L'!W25,0)</f>
        <v>0.6499720514</v>
      </c>
      <c r="X14" s="61">
        <f>IF('P&amp;L'!X25&gt;0,('P&amp;L'!X25-'P&amp;L'!X56)/'P&amp;L'!X25,0)</f>
        <v>0.6499973485</v>
      </c>
      <c r="Y14" s="61">
        <f>IF('P&amp;L'!Y25&gt;0,('P&amp;L'!Y25-'P&amp;L'!Y56)/'P&amp;L'!Y25,0)</f>
        <v>0.65</v>
      </c>
      <c r="Z14" s="61">
        <f t="shared" si="4"/>
        <v>0.65</v>
      </c>
    </row>
    <row r="15">
      <c r="A15" s="48" t="s">
        <v>483</v>
      </c>
      <c r="B15" s="61">
        <f>IF('P&amp;L'!B42&gt;0,('P&amp;L'!B42-'P&amp;L'!B59)/'P&amp;L'!B42,0)</f>
        <v>0</v>
      </c>
      <c r="C15" s="61">
        <f>IF('P&amp;L'!C42&gt;0,('P&amp;L'!C42-'P&amp;L'!C59)/'P&amp;L'!C42,0)</f>
        <v>0</v>
      </c>
      <c r="D15" s="61">
        <f>IF('P&amp;L'!D42&gt;0,('P&amp;L'!D42-'P&amp;L'!D59)/'P&amp;L'!D42,0)</f>
        <v>0</v>
      </c>
      <c r="E15" s="61">
        <f>IF('P&amp;L'!E42&gt;0,('P&amp;L'!E42-'P&amp;L'!E59)/'P&amp;L'!E42,0)</f>
        <v>0.990512334</v>
      </c>
      <c r="F15" s="61">
        <f>IF('P&amp;L'!F42&gt;0,('P&amp;L'!F42-'P&amp;L'!F59)/'P&amp;L'!F42,0)</f>
        <v>0.9907749077</v>
      </c>
      <c r="G15" s="61">
        <f>IF('P&amp;L'!G42&gt;0,('P&amp;L'!G42-'P&amp;L'!G59)/'P&amp;L'!G42,0)</f>
        <v>0.9902912621</v>
      </c>
      <c r="H15" s="61">
        <f>IF('P&amp;L'!H42&gt;0,('P&amp;L'!H42-'P&amp;L'!H59)/'P&amp;L'!H42,0)</f>
        <v>0.9905913978</v>
      </c>
      <c r="I15" s="61">
        <f>IF('P&amp;L'!I42&gt;0,('P&amp;L'!I42-'P&amp;L'!I59)/'P&amp;L'!I42,0)</f>
        <v>0.9904255319</v>
      </c>
      <c r="J15" s="61">
        <f>IF('P&amp;L'!J42&gt;0,('P&amp;L'!J42-'P&amp;L'!J59)/'P&amp;L'!J42,0)</f>
        <v>0.9903986034</v>
      </c>
      <c r="K15" s="61">
        <f>IF('P&amp;L'!K42&gt;0,('P&amp;L'!K42-'P&amp;L'!K59)/'P&amp;L'!K42,0)</f>
        <v>0.9905482042</v>
      </c>
      <c r="L15" s="61">
        <f>IF('P&amp;L'!L42&gt;0,('P&amp;L'!L42-'P&amp;L'!L59)/'P&amp;L'!L42,0)</f>
        <v>0.9903767404</v>
      </c>
      <c r="M15" s="61">
        <f>IF('P&amp;L'!M42&gt;0,('P&amp;L'!M42-'P&amp;L'!M59)/'P&amp;L'!M42,0)</f>
        <v>0.9903143275</v>
      </c>
      <c r="N15" s="61">
        <f>IF('P&amp;L'!N42&gt;0,('P&amp;L'!N42-'P&amp;L'!N59)/'P&amp;L'!N42,0)</f>
        <v>0.9903428296</v>
      </c>
      <c r="O15" s="61">
        <f>IF('P&amp;L'!O42&gt;0,('P&amp;L'!O42-'P&amp;L'!O59)/'P&amp;L'!O42,0)</f>
        <v>0.990380411</v>
      </c>
      <c r="P15" s="61">
        <f>IF('P&amp;L'!P42&gt;0,('P&amp;L'!P42-'P&amp;L'!P59)/'P&amp;L'!P42,0)</f>
        <v>0.9903264813</v>
      </c>
      <c r="Q15" s="61">
        <f>IF('P&amp;L'!Q42&gt;0,('P&amp;L'!Q42-'P&amp;L'!Q59)/'P&amp;L'!Q42,0)</f>
        <v>0.99044072</v>
      </c>
      <c r="R15" s="61">
        <f>IF('P&amp;L'!R42&gt;0,('P&amp;L'!R42-'P&amp;L'!R59)/'P&amp;L'!R42,0)</f>
        <v>0.9904673332</v>
      </c>
      <c r="S15" s="61">
        <f>IF('P&amp;L'!S42&gt;0,('P&amp;L'!S42-'P&amp;L'!S59)/'P&amp;L'!S42,0)</f>
        <v>0.9903920486</v>
      </c>
      <c r="T15" s="61">
        <f>IF('P&amp;L'!T42&gt;0,('P&amp;L'!T42-'P&amp;L'!T59)/'P&amp;L'!T42,0)</f>
        <v>0.9904438964</v>
      </c>
      <c r="U15" s="61">
        <f>IF('P&amp;L'!U42&gt;0,('P&amp;L'!U42-'P&amp;L'!U59)/'P&amp;L'!U42,0)</f>
        <v>0.9904004654</v>
      </c>
      <c r="V15" s="61">
        <f>IF('P&amp;L'!V42&gt;0,('P&amp;L'!V42-'P&amp;L'!V59)/'P&amp;L'!V42,0)</f>
        <v>0.9904411765</v>
      </c>
      <c r="W15" s="61">
        <f>IF('P&amp;L'!W42&gt;0,('P&amp;L'!W42-'P&amp;L'!W59)/'P&amp;L'!W42,0)</f>
        <v>0.9904209509</v>
      </c>
      <c r="X15" s="61">
        <f>IF('P&amp;L'!X42&gt;0,('P&amp;L'!X42-'P&amp;L'!X59)/'P&amp;L'!X42,0)</f>
        <v>0.9903651116</v>
      </c>
      <c r="Y15" s="61">
        <f>IF('P&amp;L'!Y42&gt;0,('P&amp;L'!Y42-'P&amp;L'!Y59)/'P&amp;L'!Y42,0)</f>
        <v>0.9904181892</v>
      </c>
      <c r="Z15" s="61">
        <f t="shared" si="4"/>
        <v>0.9904181892</v>
      </c>
    </row>
    <row r="17">
      <c r="A17" s="13" t="s">
        <v>484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49" t="s">
        <v>485</v>
      </c>
      <c r="B18" s="25">
        <f>IF('P&amp;L'!B47&gt;0,'P&amp;L'!B17/'P&amp;L'!B47,0)</f>
        <v>0</v>
      </c>
      <c r="C18" s="25">
        <f>IF('P&amp;L'!C47&gt;0,'P&amp;L'!C17/'P&amp;L'!C47,0)</f>
        <v>0</v>
      </c>
      <c r="D18" s="25">
        <f>IF('P&amp;L'!D47&gt;0,'P&amp;L'!D17/'P&amp;L'!D47,0)</f>
        <v>0</v>
      </c>
      <c r="E18" s="25">
        <f>IF('P&amp;L'!E47&gt;0,'P&amp;L'!E17/'P&amp;L'!E47,0)</f>
        <v>0.5098855359</v>
      </c>
      <c r="F18" s="25">
        <f>IF('P&amp;L'!F47&gt;0,'P&amp;L'!F17/'P&amp;L'!F47,0)</f>
        <v>0.5832638972</v>
      </c>
      <c r="G18" s="25">
        <f>IF('P&amp;L'!G47&gt;0,'P&amp;L'!G17/'P&amp;L'!G47,0)</f>
        <v>0.5652976465</v>
      </c>
      <c r="H18" s="25">
        <f>IF('P&amp;L'!H47&gt;0,'P&amp;L'!H17/'P&amp;L'!H47,0)</f>
        <v>0.6092102646</v>
      </c>
      <c r="I18" s="25">
        <f>IF('P&amp;L'!I47&gt;0,'P&amp;L'!I17/'P&amp;L'!I47,0)</f>
        <v>0.6228436535</v>
      </c>
      <c r="J18" s="25">
        <f>IF('P&amp;L'!J47&gt;0,'P&amp;L'!J17/'P&amp;L'!J47,0)</f>
        <v>0.6327660918</v>
      </c>
      <c r="K18" s="25">
        <f>IF('P&amp;L'!K47&gt;0,'P&amp;L'!K17/'P&amp;L'!K47,0)</f>
        <v>0.6619832478</v>
      </c>
      <c r="L18" s="25">
        <f>IF('P&amp;L'!L47&gt;0,'P&amp;L'!L17/'P&amp;L'!L47,0)</f>
        <v>0.6840645534</v>
      </c>
      <c r="M18" s="25">
        <f>IF('P&amp;L'!M47&gt;0,'P&amp;L'!M17/'P&amp;L'!M47,0)</f>
        <v>0.6949697428</v>
      </c>
      <c r="N18" s="25">
        <f>IF('P&amp;L'!N47&gt;0,'P&amp;L'!N17/'P&amp;L'!N47,0)</f>
        <v>0.7156323854</v>
      </c>
      <c r="O18" s="25">
        <f>IF('P&amp;L'!O47&gt;0,'P&amp;L'!O17/'P&amp;L'!O47,0)</f>
        <v>0.7332205302</v>
      </c>
      <c r="P18" s="25">
        <f>IF('P&amp;L'!P47&gt;0,'P&amp;L'!P17/'P&amp;L'!P47,0)</f>
        <v>0.7413758322</v>
      </c>
      <c r="Q18" s="25">
        <f>IF('P&amp;L'!Q47&gt;0,'P&amp;L'!Q17/'P&amp;L'!Q47,0)</f>
        <v>0.7638744544</v>
      </c>
      <c r="R18" s="25">
        <f>IF('P&amp;L'!R47&gt;0,'P&amp;L'!R17/'P&amp;L'!R47,0)</f>
        <v>0.7796163288</v>
      </c>
      <c r="S18" s="25">
        <f>IF('P&amp;L'!S47&gt;0,'P&amp;L'!S17/'P&amp;L'!S47,0)</f>
        <v>0.7907317631</v>
      </c>
      <c r="T18" s="25">
        <f>IF('P&amp;L'!T47&gt;0,'P&amp;L'!T17/'P&amp;L'!T47,0)</f>
        <v>0.8006681312</v>
      </c>
      <c r="U18" s="25">
        <f>IF('P&amp;L'!U47&gt;0,'P&amp;L'!U17/'P&amp;L'!U47,0)</f>
        <v>0.8059652393</v>
      </c>
      <c r="V18" s="25">
        <f>IF('P&amp;L'!V47&gt;0,'P&amp;L'!V17/'P&amp;L'!V47,0)</f>
        <v>0.8185163531</v>
      </c>
      <c r="W18" s="25">
        <f>IF('P&amp;L'!W47&gt;0,'P&amp;L'!W17/'P&amp;L'!W47,0)</f>
        <v>0.8289555694</v>
      </c>
      <c r="X18" s="25">
        <f>IF('P&amp;L'!X47&gt;0,'P&amp;L'!X17/'P&amp;L'!X47,0)</f>
        <v>0.8377602736</v>
      </c>
      <c r="Y18" s="25">
        <f>IF('P&amp;L'!Y47&gt;0,'P&amp;L'!Y17/'P&amp;L'!Y47,0)</f>
        <v>0.8466172869</v>
      </c>
      <c r="Z18" s="25">
        <f t="shared" ref="Z18:Z23" si="5">Y18</f>
        <v>0.8466172869</v>
      </c>
    </row>
    <row r="19">
      <c r="A19" s="49" t="s">
        <v>486</v>
      </c>
      <c r="B19" s="25">
        <f>IF('P&amp;L'!B47&gt;0,'P&amp;L'!B21/'P&amp;L'!B47,0)</f>
        <v>0</v>
      </c>
      <c r="C19" s="25">
        <f>IF('P&amp;L'!C47&gt;0,'P&amp;L'!C21/'P&amp;L'!C47,0)</f>
        <v>0</v>
      </c>
      <c r="D19" s="25">
        <f>IF('P&amp;L'!D47&gt;0,'P&amp;L'!D21/'P&amp;L'!D47,0)</f>
        <v>0</v>
      </c>
      <c r="E19" s="25">
        <f>IF('P&amp;L'!E47&gt;0,'P&amp;L'!E21/'P&amp;L'!E47,0)</f>
        <v>0</v>
      </c>
      <c r="F19" s="25">
        <f>IF('P&amp;L'!F47&gt;0,'P&amp;L'!F21/'P&amp;L'!F47,0)</f>
        <v>0</v>
      </c>
      <c r="G19" s="25">
        <f>IF('P&amp;L'!G47&gt;0,'P&amp;L'!G21/'P&amp;L'!G47,0)</f>
        <v>0</v>
      </c>
      <c r="H19" s="25">
        <f>IF('P&amp;L'!H47&gt;0,'P&amp;L'!H21/'P&amp;L'!H47,0)</f>
        <v>0</v>
      </c>
      <c r="I19" s="25">
        <f>IF('P&amp;L'!I47&gt;0,'P&amp;L'!I21/'P&amp;L'!I47,0)</f>
        <v>0</v>
      </c>
      <c r="J19" s="25">
        <f>IF('P&amp;L'!J47&gt;0,'P&amp;L'!J21/'P&amp;L'!J47,0)</f>
        <v>0</v>
      </c>
      <c r="K19" s="25">
        <f>IF('P&amp;L'!K47&gt;0,'P&amp;L'!K21/'P&amp;L'!K47,0)</f>
        <v>0</v>
      </c>
      <c r="L19" s="25">
        <f>IF('P&amp;L'!L47&gt;0,'P&amp;L'!L21/'P&amp;L'!L47,0)</f>
        <v>0</v>
      </c>
      <c r="M19" s="25">
        <f>IF('P&amp;L'!M47&gt;0,'P&amp;L'!M21/'P&amp;L'!M47,0)</f>
        <v>0</v>
      </c>
      <c r="N19" s="25">
        <f>IF('P&amp;L'!N47&gt;0,'P&amp;L'!N21/'P&amp;L'!N47,0)</f>
        <v>0</v>
      </c>
      <c r="O19" s="25">
        <f>IF('P&amp;L'!O47&gt;0,'P&amp;L'!O21/'P&amp;L'!O47,0)</f>
        <v>0</v>
      </c>
      <c r="P19" s="25">
        <f>IF('P&amp;L'!P47&gt;0,'P&amp;L'!P21/'P&amp;L'!P47,0)</f>
        <v>0</v>
      </c>
      <c r="Q19" s="25">
        <f>IF('P&amp;L'!Q47&gt;0,'P&amp;L'!Q21/'P&amp;L'!Q47,0)</f>
        <v>0</v>
      </c>
      <c r="R19" s="25">
        <f>IF('P&amp;L'!R47&gt;0,'P&amp;L'!R21/'P&amp;L'!R47,0)</f>
        <v>0</v>
      </c>
      <c r="S19" s="25">
        <f>IF('P&amp;L'!S47&gt;0,'P&amp;L'!S21/'P&amp;L'!S47,0)</f>
        <v>0</v>
      </c>
      <c r="T19" s="25">
        <f>IF('P&amp;L'!T47&gt;0,'P&amp;L'!T21/'P&amp;L'!T47,0)</f>
        <v>0</v>
      </c>
      <c r="U19" s="25">
        <f>IF('P&amp;L'!U47&gt;0,'P&amp;L'!U21/'P&amp;L'!U47,0)</f>
        <v>0</v>
      </c>
      <c r="V19" s="25">
        <f>IF('P&amp;L'!V47&gt;0,'P&amp;L'!V21/'P&amp;L'!V47,0)</f>
        <v>0</v>
      </c>
      <c r="W19" s="25">
        <f>IF('P&amp;L'!W47&gt;0,'P&amp;L'!W21/'P&amp;L'!W47,0)</f>
        <v>0</v>
      </c>
      <c r="X19" s="25">
        <f>IF('P&amp;L'!X47&gt;0,'P&amp;L'!X21/'P&amp;L'!X47,0)</f>
        <v>0</v>
      </c>
      <c r="Y19" s="25">
        <f>IF('P&amp;L'!Y47&gt;0,'P&amp;L'!Y21/'P&amp;L'!Y47,0)</f>
        <v>0</v>
      </c>
      <c r="Z19" s="25">
        <f t="shared" si="5"/>
        <v>0</v>
      </c>
    </row>
    <row r="20">
      <c r="A20" s="49" t="s">
        <v>487</v>
      </c>
      <c r="B20" s="25">
        <f>IF('P&amp;L'!B47&gt;0,'P&amp;L'!B25/'P&amp;L'!B47,0)</f>
        <v>0</v>
      </c>
      <c r="C20" s="25">
        <f>IF('P&amp;L'!C47&gt;0,'P&amp;L'!C25/'P&amp;L'!C47,0)</f>
        <v>0</v>
      </c>
      <c r="D20" s="25">
        <f>IF('P&amp;L'!D47&gt;0,'P&amp;L'!D25/'P&amp;L'!D47,0)</f>
        <v>0</v>
      </c>
      <c r="E20" s="25">
        <f>IF('P&amp;L'!E47&gt;0,'P&amp;L'!E25/'P&amp;L'!E47,0)</f>
        <v>0.2012486993</v>
      </c>
      <c r="F20" s="25">
        <f>IF('P&amp;L'!F47&gt;0,'P&amp;L'!F25/'P&amp;L'!F47,0)</f>
        <v>0.1727175336</v>
      </c>
      <c r="G20" s="25">
        <f>IF('P&amp;L'!G47&gt;0,'P&amp;L'!G25/'P&amp;L'!G47,0)</f>
        <v>0.185971389</v>
      </c>
      <c r="H20" s="25">
        <f>IF('P&amp;L'!H47&gt;0,'P&amp;L'!H25/'P&amp;L'!H47,0)</f>
        <v>0.1683409588</v>
      </c>
      <c r="I20" s="25">
        <f>IF('P&amp;L'!I47&gt;0,'P&amp;L'!I25/'P&amp;L'!I47,0)</f>
        <v>0.1580533866</v>
      </c>
      <c r="J20" s="25">
        <f>IF('P&amp;L'!J47&gt;0,'P&amp;L'!J25/'P&amp;L'!J47,0)</f>
        <v>0.1526386776</v>
      </c>
      <c r="K20" s="25">
        <f>IF('P&amp;L'!K47&gt;0,'P&amp;L'!K25/'P&amp;L'!K47,0)</f>
        <v>0.141538323</v>
      </c>
      <c r="L20" s="25">
        <f>IF('P&amp;L'!L47&gt;0,'P&amp;L'!L25/'P&amp;L'!L47,0)</f>
        <v>0.1350073525</v>
      </c>
      <c r="M20" s="25">
        <f>IF('P&amp;L'!M47&gt;0,'P&amp;L'!M25/'P&amp;L'!M47,0)</f>
        <v>0.1295385779</v>
      </c>
      <c r="N20" s="25">
        <f>IF('P&amp;L'!N47&gt;0,'P&amp;L'!N25/'P&amp;L'!N47,0)</f>
        <v>0.1219761544</v>
      </c>
      <c r="O20" s="25">
        <f>IF('P&amp;L'!O47&gt;0,'P&amp;L'!O25/'P&amp;L'!O47,0)</f>
        <v>0.1168778848</v>
      </c>
      <c r="P20" s="25">
        <f>IF('P&amp;L'!P47&gt;0,'P&amp;L'!P25/'P&amp;L'!P47,0)</f>
        <v>0.1121747024</v>
      </c>
      <c r="Q20" s="25">
        <f>IF('P&amp;L'!Q47&gt;0,'P&amp;L'!Q25/'P&amp;L'!Q47,0)</f>
        <v>0.1046906395</v>
      </c>
      <c r="R20" s="25">
        <f>IF('P&amp;L'!R47&gt;0,'P&amp;L'!R25/'P&amp;L'!R47,0)</f>
        <v>0.09891050702</v>
      </c>
      <c r="S20" s="25">
        <f>IF('P&amp;L'!S47&gt;0,'P&amp;L'!S25/'P&amp;L'!S47,0)</f>
        <v>0.09428265971</v>
      </c>
      <c r="T20" s="25">
        <f>IF('P&amp;L'!T47&gt;0,'P&amp;L'!T25/'P&amp;L'!T47,0)</f>
        <v>0.09071212864</v>
      </c>
      <c r="U20" s="25">
        <f>IF('P&amp;L'!U47&gt;0,'P&amp;L'!U25/'P&amp;L'!U47,0)</f>
        <v>0.08748286639</v>
      </c>
      <c r="V20" s="25">
        <f>IF('P&amp;L'!V47&gt;0,'P&amp;L'!V25/'P&amp;L'!V47,0)</f>
        <v>0.08314377097</v>
      </c>
      <c r="W20" s="25">
        <f>IF('P&amp;L'!W47&gt;0,'P&amp;L'!W25/'P&amp;L'!W47,0)</f>
        <v>0.07964562372</v>
      </c>
      <c r="X20" s="25">
        <f>IF('P&amp;L'!X47&gt;0,'P&amp;L'!X25/'P&amp;L'!X47,0)</f>
        <v>0.07676212575</v>
      </c>
      <c r="Y20" s="25">
        <f>IF('P&amp;L'!Y47&gt;0,'P&amp;L'!Y25/'P&amp;L'!Y47,0)</f>
        <v>0.07264231734</v>
      </c>
      <c r="Z20" s="25">
        <f t="shared" si="5"/>
        <v>0.07264231734</v>
      </c>
    </row>
    <row r="21" ht="15.75" customHeight="1">
      <c r="A21" s="49" t="s">
        <v>488</v>
      </c>
      <c r="B21" s="25">
        <f>IF('P&amp;L'!B47&gt;0,'P&amp;L'!B31/'P&amp;L'!B47,0)</f>
        <v>0</v>
      </c>
      <c r="C21" s="25">
        <f>IF('P&amp;L'!C47&gt;0,'P&amp;L'!C31/'P&amp;L'!C47,0)</f>
        <v>0</v>
      </c>
      <c r="D21" s="25">
        <f>IF('P&amp;L'!D47&gt;0,'P&amp;L'!D31/'P&amp;L'!D47,0)</f>
        <v>0</v>
      </c>
      <c r="E21" s="25">
        <f>IF('P&amp;L'!E47&gt;0,'P&amp;L'!E31/'P&amp;L'!E47,0)</f>
        <v>0.08740894901</v>
      </c>
      <c r="F21" s="25">
        <f>IF('P&amp;L'!F47&gt;0,'P&amp;L'!F31/'P&amp;L'!F47,0)</f>
        <v>0.06249256041</v>
      </c>
      <c r="G21" s="25">
        <f>IF('P&amp;L'!G47&gt;0,'P&amp;L'!G31/'P&amp;L'!G47,0)</f>
        <v>0.08075680665</v>
      </c>
      <c r="H21" s="25">
        <f>IF('P&amp;L'!H47&gt;0,'P&amp;L'!H31/'P&amp;L'!H47,0)</f>
        <v>0.06266162721</v>
      </c>
      <c r="I21" s="25">
        <f>IF('P&amp;L'!I47&gt;0,'P&amp;L'!I31/'P&amp;L'!I47,0)</f>
        <v>0.06863991284</v>
      </c>
      <c r="J21" s="25">
        <f>IF('P&amp;L'!J47&gt;0,'P&amp;L'!J31/'P&amp;L'!J47,0)</f>
        <v>0.05423709358</v>
      </c>
      <c r="K21" s="25">
        <f>IF('P&amp;L'!K47&gt;0,'P&amp;L'!K31/'P&amp;L'!K47,0)</f>
        <v>0.0472845177</v>
      </c>
      <c r="L21" s="25">
        <f>IF('P&amp;L'!L47&gt;0,'P&amp;L'!L31/'P&amp;L'!L47,0)</f>
        <v>0.03908940305</v>
      </c>
      <c r="M21" s="25">
        <f>IF('P&amp;L'!M47&gt;0,'P&amp;L'!M31/'P&amp;L'!M47,0)</f>
        <v>0.03309379728</v>
      </c>
      <c r="N21" s="25">
        <f>IF('P&amp;L'!N47&gt;0,'P&amp;L'!N31/'P&amp;L'!N47,0)</f>
        <v>0.03066995937</v>
      </c>
      <c r="O21" s="25">
        <f>IF('P&amp;L'!O47&gt;0,'P&amp;L'!O31/'P&amp;L'!O47,0)</f>
        <v>0.02658931593</v>
      </c>
      <c r="P21" s="25">
        <f>IF('P&amp;L'!P47&gt;0,'P&amp;L'!P31/'P&amp;L'!P47,0)</f>
        <v>0.03106717773</v>
      </c>
      <c r="Q21" s="25">
        <f>IF('P&amp;L'!Q47&gt;0,'P&amp;L'!Q31/'P&amp;L'!Q47,0)</f>
        <v>0.02667498095</v>
      </c>
      <c r="R21" s="25">
        <f>IF('P&amp;L'!R47&gt;0,'P&amp;L'!R31/'P&amp;L'!R47,0)</f>
        <v>0.02545685971</v>
      </c>
      <c r="S21" s="25">
        <f>IF('P&amp;L'!S47&gt;0,'P&amp;L'!S31/'P&amp;L'!S47,0)</f>
        <v>0.02259233609</v>
      </c>
      <c r="T21" s="25">
        <f>IF('P&amp;L'!T47&gt;0,'P&amp;L'!T31/'P&amp;L'!T47,0)</f>
        <v>0.02118169659</v>
      </c>
      <c r="U21" s="25">
        <f>IF('P&amp;L'!U47&gt;0,'P&amp;L'!U31/'P&amp;L'!U47,0)</f>
        <v>0.02398706069</v>
      </c>
      <c r="V21" s="25">
        <f>IF('P&amp;L'!V47&gt;0,'P&amp;L'!V31/'P&amp;L'!V47,0)</f>
        <v>0.02149465213</v>
      </c>
      <c r="W21" s="25">
        <f>IF('P&amp;L'!W47&gt;0,'P&amp;L'!W31/'P&amp;L'!W47,0)</f>
        <v>0.01947733951</v>
      </c>
      <c r="X21" s="25">
        <f>IF('P&amp;L'!X47&gt;0,'P&amp;L'!X31/'P&amp;L'!X47,0)</f>
        <v>0.01780952962</v>
      </c>
      <c r="Y21" s="25">
        <f>IF('P&amp;L'!Y47&gt;0,'P&amp;L'!Y31/'P&amp;L'!Y47,0)</f>
        <v>0.01643278895</v>
      </c>
      <c r="Z21" s="25">
        <f t="shared" si="5"/>
        <v>0.01643278895</v>
      </c>
    </row>
    <row r="22" ht="15.75" customHeight="1">
      <c r="A22" s="49" t="s">
        <v>489</v>
      </c>
      <c r="B22" s="25">
        <f>IF('P&amp;L'!B47&gt;0,'P&amp;L'!B35/'P&amp;L'!B47,0)</f>
        <v>0</v>
      </c>
      <c r="C22" s="25">
        <f>IF('P&amp;L'!C47&gt;0,'P&amp;L'!C35/'P&amp;L'!C47,0)</f>
        <v>0</v>
      </c>
      <c r="D22" s="25">
        <f>IF('P&amp;L'!D47&gt;0,'P&amp;L'!D35/'P&amp;L'!D47,0)</f>
        <v>0</v>
      </c>
      <c r="E22" s="25">
        <f>IF('P&amp;L'!E47&gt;0,'P&amp;L'!E35/'P&amp;L'!E47,0)</f>
        <v>0</v>
      </c>
      <c r="F22" s="25">
        <f>IF('P&amp;L'!F47&gt;0,'P&amp;L'!F35/'P&amp;L'!F47,0)</f>
        <v>0</v>
      </c>
      <c r="G22" s="25">
        <f>IF('P&amp;L'!G47&gt;0,'P&amp;L'!G35/'P&amp;L'!G47,0)</f>
        <v>0.0152284264</v>
      </c>
      <c r="H22" s="25">
        <f>IF('P&amp;L'!H47&gt;0,'P&amp;L'!H35/'P&amp;L'!H47,0)</f>
        <v>0.02461706783</v>
      </c>
      <c r="I22" s="25">
        <f>IF('P&amp;L'!I47&gt;0,'P&amp;L'!I35/'P&amp;L'!I47,0)</f>
        <v>0.02876339205</v>
      </c>
      <c r="J22" s="25">
        <f>IF('P&amp;L'!J47&gt;0,'P&amp;L'!J35/'P&amp;L'!J47,0)</f>
        <v>0.02840990616</v>
      </c>
      <c r="K22" s="25">
        <f>IF('P&amp;L'!K47&gt;0,'P&amp;L'!K35/'P&amp;L'!K47,0)</f>
        <v>0.02674952715</v>
      </c>
      <c r="L22" s="25">
        <f>IF('P&amp;L'!L47&gt;0,'P&amp;L'!L35/'P&amp;L'!L47,0)</f>
        <v>0.02764179216</v>
      </c>
      <c r="M22" s="25">
        <f>IF('P&amp;L'!M47&gt;0,'P&amp;L'!M35/'P&amp;L'!M47,0)</f>
        <v>0.02652231467</v>
      </c>
      <c r="N22" s="25">
        <f>IF('P&amp;L'!N47&gt;0,'P&amp;L'!N35/'P&amp;L'!N47,0)</f>
        <v>0.02365968294</v>
      </c>
      <c r="O22" s="25">
        <f>IF('P&amp;L'!O47&gt;0,'P&amp;L'!O35/'P&amp;L'!O47,0)</f>
        <v>0.02165130011</v>
      </c>
      <c r="P22" s="25">
        <f>IF('P&amp;L'!P47&gt;0,'P&amp;L'!P35/'P&amp;L'!P47,0)</f>
        <v>0.01997175711</v>
      </c>
      <c r="Q22" s="25">
        <f>IF('P&amp;L'!Q47&gt;0,'P&amp;L'!Q35/'P&amp;L'!Q47,0)</f>
        <v>0.01714820204</v>
      </c>
      <c r="R22" s="25">
        <f>IF('P&amp;L'!R47&gt;0,'P&amp;L'!R35/'P&amp;L'!R47,0)</f>
        <v>0.01500136376</v>
      </c>
      <c r="S22" s="25">
        <f>IF('P&amp;L'!S47&gt;0,'P&amp;L'!S35/'P&amp;L'!S47,0)</f>
        <v>0.01331334091</v>
      </c>
      <c r="T22" s="25">
        <f>IF('P&amp;L'!T47&gt;0,'P&amp;L'!T35/'P&amp;L'!T47,0)</f>
        <v>0.01198278836</v>
      </c>
      <c r="U22" s="25">
        <f>IF('P&amp;L'!U47&gt;0,'P&amp;L'!U35/'P&amp;L'!U47,0)</f>
        <v>0.01085585833</v>
      </c>
      <c r="V22" s="25">
        <f>IF('P&amp;L'!V47&gt;0,'P&amp;L'!V35/'P&amp;L'!V47,0)</f>
        <v>0.009727865421</v>
      </c>
      <c r="W22" s="25">
        <f>IF('P&amp;L'!W47&gt;0,'P&amp;L'!W35/'P&amp;L'!W47,0)</f>
        <v>0.008814887365</v>
      </c>
      <c r="X22" s="25">
        <f>IF('P&amp;L'!X47&gt;0,'P&amp;L'!X35/'P&amp;L'!X47,0)</f>
        <v>0.008060084265</v>
      </c>
      <c r="Y22" s="25">
        <f>IF('P&amp;L'!Y47&gt;0,'P&amp;L'!Y35/'P&amp;L'!Y47,0)</f>
        <v>0.007437010772</v>
      </c>
      <c r="Z22" s="25">
        <f t="shared" si="5"/>
        <v>0.007437010772</v>
      </c>
    </row>
    <row r="23" ht="15.75" customHeight="1">
      <c r="A23" s="49" t="s">
        <v>490</v>
      </c>
      <c r="B23" s="25">
        <f>IF('P&amp;L'!B47&gt;0,'P&amp;L'!B42/'P&amp;L'!B47,0)</f>
        <v>0</v>
      </c>
      <c r="C23" s="25">
        <f>IF('P&amp;L'!C47&gt;0,'P&amp;L'!C42/'P&amp;L'!C47,0)</f>
        <v>0</v>
      </c>
      <c r="D23" s="25">
        <f>IF('P&amp;L'!D47&gt;0,'P&amp;L'!D42/'P&amp;L'!D47,0)</f>
        <v>0</v>
      </c>
      <c r="E23" s="25">
        <f>IF('P&amp;L'!E47&gt;0,'P&amp;L'!E42/'P&amp;L'!E47,0)</f>
        <v>0.1096774194</v>
      </c>
      <c r="F23" s="25">
        <f>IF('P&amp;L'!F47&gt;0,'P&amp;L'!F42/'P&amp;L'!F47,0)</f>
        <v>0.1290322581</v>
      </c>
      <c r="G23" s="25">
        <f>IF('P&amp;L'!G47&gt;0,'P&amp;L'!G42/'P&amp;L'!G47,0)</f>
        <v>0.1188278726</v>
      </c>
      <c r="H23" s="25">
        <f>IF('P&amp;L'!H47&gt;0,'P&amp;L'!H42/'P&amp;L'!H47,0)</f>
        <v>0.1110005968</v>
      </c>
      <c r="I23" s="25">
        <f>IF('P&amp;L'!I47&gt;0,'P&amp;L'!I42/'P&amp;L'!I47,0)</f>
        <v>0.102415108</v>
      </c>
      <c r="J23" s="25">
        <f>IF('P&amp;L'!J47&gt;0,'P&amp;L'!J42/'P&amp;L'!J47,0)</f>
        <v>0.09863115907</v>
      </c>
      <c r="K23" s="25">
        <f>IF('P&amp;L'!K47&gt;0,'P&amp;L'!K42/'P&amp;L'!K47,0)</f>
        <v>0.09528956138</v>
      </c>
      <c r="L23" s="25">
        <f>IF('P&amp;L'!L47&gt;0,'P&amp;L'!L42/'P&amp;L'!L47,0)</f>
        <v>0.09091078309</v>
      </c>
      <c r="M23" s="25">
        <f>IF('P&amp;L'!M47&gt;0,'P&amp;L'!M42/'P&amp;L'!M47,0)</f>
        <v>0.08623298033</v>
      </c>
      <c r="N23" s="25">
        <f>IF('P&amp;L'!N47&gt;0,'P&amp;L'!N42/'P&amp;L'!N47,0)</f>
        <v>0.08249024138</v>
      </c>
      <c r="O23" s="25">
        <f>IF('P&amp;L'!O47&gt;0,'P&amp;L'!O42/'P&amp;L'!O47,0)</f>
        <v>0.07897372147</v>
      </c>
      <c r="P23" s="25">
        <f>IF('P&amp;L'!P47&gt;0,'P&amp;L'!P42/'P&amp;L'!P47,0)</f>
        <v>0.0750756506</v>
      </c>
      <c r="Q23" s="25">
        <f>IF('P&amp;L'!Q47&gt;0,'P&amp;L'!Q42/'P&amp;L'!Q47,0)</f>
        <v>0.06976200374</v>
      </c>
      <c r="R23" s="25">
        <f>IF('P&amp;L'!R47&gt;0,'P&amp;L'!R42/'P&amp;L'!R47,0)</f>
        <v>0.06517259145</v>
      </c>
      <c r="S23" s="25">
        <f>IF('P&amp;L'!S47&gt;0,'P&amp;L'!S42/'P&amp;L'!S47,0)</f>
        <v>0.06088500097</v>
      </c>
      <c r="T23" s="25">
        <f>IF('P&amp;L'!T47&gt;0,'P&amp;L'!T42/'P&amp;L'!T47,0)</f>
        <v>0.05889722036</v>
      </c>
      <c r="U23" s="25">
        <f>IF('P&amp;L'!U47&gt;0,'P&amp;L'!U42/'P&amp;L'!U47,0)</f>
        <v>0.05654367016</v>
      </c>
      <c r="V23" s="25">
        <f>IF('P&amp;L'!V47&gt;0,'P&amp;L'!V42/'P&amp;L'!V47,0)</f>
        <v>0.05345412918</v>
      </c>
      <c r="W23" s="25">
        <f>IF('P&amp;L'!W47&gt;0,'P&amp;L'!W42/'P&amp;L'!W47,0)</f>
        <v>0.05065889057</v>
      </c>
      <c r="X23" s="25">
        <f>IF('P&amp;L'!X47&gt;0,'P&amp;L'!X42/'P&amp;L'!X47,0)</f>
        <v>0.0481651096</v>
      </c>
      <c r="Y23" s="25">
        <f>IF('P&amp;L'!Y47&gt;0,'P&amp;L'!Y42/'P&amp;L'!Y47,0)</f>
        <v>0.04625595336</v>
      </c>
      <c r="Z23" s="25">
        <f t="shared" si="5"/>
        <v>0.04625595336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E948A"/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4" width="18.0"/>
    <col customWidth="1" min="5" max="26" width="8.71"/>
  </cols>
  <sheetData>
    <row r="1">
      <c r="A1" s="36" t="s">
        <v>491</v>
      </c>
    </row>
    <row r="2">
      <c r="A2" s="37" t="s">
        <v>492</v>
      </c>
    </row>
    <row r="4">
      <c r="A4" s="4" t="s">
        <v>432</v>
      </c>
      <c r="B4" s="4" t="s">
        <v>493</v>
      </c>
      <c r="C4" s="4" t="s">
        <v>494</v>
      </c>
      <c r="D4" s="4" t="s">
        <v>495</v>
      </c>
    </row>
    <row r="5">
      <c r="A5" s="48" t="s">
        <v>496</v>
      </c>
      <c r="B5" s="62">
        <f>'P&amp;L'!Z47</f>
        <v>2215476</v>
      </c>
      <c r="C5" s="62">
        <f>ROUND('P&amp;L'!Z47*Assumptions!B121,0)</f>
        <v>2880119</v>
      </c>
      <c r="D5" s="62">
        <f>ROUND('P&amp;L'!Z47*Assumptions!B123,0)</f>
        <v>1329286</v>
      </c>
    </row>
    <row r="6">
      <c r="A6" s="48" t="s">
        <v>497</v>
      </c>
      <c r="B6" s="62">
        <f>'P&amp;L'!Z64</f>
        <v>1222536</v>
      </c>
      <c r="C6" s="62">
        <f>ROUND('P&amp;L'!Z64*Assumptions!B121,0)</f>
        <v>1589297</v>
      </c>
      <c r="D6" s="62">
        <f>ROUND('P&amp;L'!Z64*Assumptions!B123,0)</f>
        <v>733522</v>
      </c>
    </row>
    <row r="7">
      <c r="A7" s="48" t="s">
        <v>498</v>
      </c>
      <c r="B7" s="62">
        <f>'P&amp;L'!Z66</f>
        <v>992940</v>
      </c>
      <c r="C7" s="62">
        <f>C5-C6</f>
        <v>1290822</v>
      </c>
      <c r="D7" s="62">
        <f>ROUND('P&amp;L'!Z66*Assumptions!B123,0)</f>
        <v>595764</v>
      </c>
    </row>
    <row r="8">
      <c r="A8" s="48" t="s">
        <v>499</v>
      </c>
      <c r="B8" s="62">
        <f>'P&amp;L'!Z127</f>
        <v>623636</v>
      </c>
      <c r="C8" s="62">
        <f>'P&amp;L'!Z127</f>
        <v>623636</v>
      </c>
      <c r="D8" s="62">
        <f>'P&amp;L'!Z127</f>
        <v>623636</v>
      </c>
    </row>
    <row r="9">
      <c r="A9" s="48" t="s">
        <v>500</v>
      </c>
      <c r="B9" s="62">
        <f>'P&amp;L'!Z163</f>
        <v>168810</v>
      </c>
      <c r="C9" s="62">
        <f>'P&amp;L'!Z163</f>
        <v>168810</v>
      </c>
      <c r="D9" s="62">
        <f>'P&amp;L'!Z163</f>
        <v>168810</v>
      </c>
    </row>
    <row r="10">
      <c r="A10" s="48" t="s">
        <v>501</v>
      </c>
      <c r="B10" s="62">
        <f t="shared" ref="B10:D10" si="1">B7-B8</f>
        <v>369304</v>
      </c>
      <c r="C10" s="62">
        <f t="shared" si="1"/>
        <v>667186</v>
      </c>
      <c r="D10" s="62">
        <f t="shared" si="1"/>
        <v>-27872</v>
      </c>
    </row>
    <row r="11">
      <c r="A11" s="48" t="s">
        <v>502</v>
      </c>
      <c r="B11" s="62">
        <f t="shared" ref="B11:D11" si="2">B10-B9</f>
        <v>200494</v>
      </c>
      <c r="C11" s="62">
        <f t="shared" si="2"/>
        <v>498376</v>
      </c>
      <c r="D11" s="62">
        <f t="shared" si="2"/>
        <v>-196682</v>
      </c>
    </row>
    <row r="12">
      <c r="A12" s="48" t="s">
        <v>503</v>
      </c>
      <c r="B12" s="62">
        <f t="shared" ref="B12:D12" si="3">500000+B11</f>
        <v>700494</v>
      </c>
      <c r="C12" s="62">
        <f t="shared" si="3"/>
        <v>998376</v>
      </c>
      <c r="D12" s="62">
        <f t="shared" si="3"/>
        <v>303318</v>
      </c>
    </row>
    <row r="14">
      <c r="A14" s="13" t="s">
        <v>504</v>
      </c>
      <c r="B14" s="38"/>
      <c r="C14" s="38"/>
      <c r="D14" s="38"/>
    </row>
    <row r="15">
      <c r="A15" s="2" t="s">
        <v>505</v>
      </c>
    </row>
    <row r="16">
      <c r="A16" s="37" t="s">
        <v>506</v>
      </c>
    </row>
    <row r="17">
      <c r="A17" s="37" t="s">
        <v>507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6B4A"/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8.0"/>
    <col customWidth="1" min="3" max="3" width="50.0"/>
    <col customWidth="1" min="4" max="4" width="25.0"/>
    <col customWidth="1" min="5" max="5" width="40.0"/>
    <col customWidth="1" min="6" max="26" width="8.71"/>
  </cols>
  <sheetData>
    <row r="1">
      <c r="A1" s="36" t="s">
        <v>508</v>
      </c>
    </row>
    <row r="2">
      <c r="A2" s="37" t="s">
        <v>509</v>
      </c>
    </row>
    <row r="4">
      <c r="A4" s="6" t="s">
        <v>510</v>
      </c>
      <c r="B4" s="6" t="s">
        <v>511</v>
      </c>
      <c r="C4" s="6" t="s">
        <v>512</v>
      </c>
      <c r="D4" s="6" t="s">
        <v>513</v>
      </c>
      <c r="E4" s="6" t="s">
        <v>514</v>
      </c>
    </row>
    <row r="5">
      <c r="A5" s="63" t="s">
        <v>515</v>
      </c>
      <c r="B5" s="64" t="s">
        <v>516</v>
      </c>
      <c r="C5" s="64" t="s">
        <v>517</v>
      </c>
      <c r="D5" s="64" t="s">
        <v>518</v>
      </c>
      <c r="E5" s="64" t="s">
        <v>519</v>
      </c>
    </row>
    <row r="6">
      <c r="A6" s="63" t="s">
        <v>520</v>
      </c>
      <c r="B6" s="64" t="s">
        <v>521</v>
      </c>
      <c r="C6" s="64" t="s">
        <v>522</v>
      </c>
      <c r="D6" s="64" t="s">
        <v>523</v>
      </c>
      <c r="E6" s="64" t="s">
        <v>524</v>
      </c>
    </row>
    <row r="7">
      <c r="A7" s="63" t="s">
        <v>525</v>
      </c>
      <c r="B7" s="64" t="s">
        <v>526</v>
      </c>
      <c r="C7" s="64" t="s">
        <v>527</v>
      </c>
      <c r="D7" s="64" t="s">
        <v>528</v>
      </c>
      <c r="E7" s="64" t="s">
        <v>529</v>
      </c>
    </row>
    <row r="8">
      <c r="A8" s="63" t="s">
        <v>530</v>
      </c>
      <c r="B8" s="64" t="s">
        <v>531</v>
      </c>
      <c r="C8" s="64" t="s">
        <v>532</v>
      </c>
      <c r="D8" s="64" t="s">
        <v>533</v>
      </c>
      <c r="E8" s="64" t="s">
        <v>534</v>
      </c>
    </row>
    <row r="9">
      <c r="A9" s="63" t="s">
        <v>535</v>
      </c>
      <c r="B9" s="64" t="s">
        <v>536</v>
      </c>
      <c r="C9" s="64" t="s">
        <v>537</v>
      </c>
      <c r="D9" s="64" t="s">
        <v>538</v>
      </c>
      <c r="E9" s="64" t="s">
        <v>539</v>
      </c>
    </row>
    <row r="10">
      <c r="A10" s="63" t="s">
        <v>540</v>
      </c>
      <c r="B10" s="64" t="s">
        <v>541</v>
      </c>
      <c r="C10" s="64" t="s">
        <v>542</v>
      </c>
      <c r="D10" s="64" t="s">
        <v>543</v>
      </c>
      <c r="E10" s="64" t="s">
        <v>544</v>
      </c>
    </row>
    <row r="11">
      <c r="A11" s="63" t="s">
        <v>545</v>
      </c>
      <c r="B11" s="64" t="s">
        <v>546</v>
      </c>
      <c r="C11" s="64" t="s">
        <v>547</v>
      </c>
      <c r="D11" s="64" t="s">
        <v>548</v>
      </c>
      <c r="E11" s="64" t="s">
        <v>549</v>
      </c>
    </row>
    <row r="12">
      <c r="A12" s="63" t="s">
        <v>550</v>
      </c>
      <c r="B12" s="64" t="s">
        <v>551</v>
      </c>
      <c r="C12" s="64" t="s">
        <v>552</v>
      </c>
      <c r="D12" s="64" t="s">
        <v>553</v>
      </c>
      <c r="E12" s="64" t="s">
        <v>554</v>
      </c>
    </row>
    <row r="13">
      <c r="A13" s="63" t="s">
        <v>555</v>
      </c>
      <c r="B13" s="64" t="s">
        <v>556</v>
      </c>
      <c r="C13" s="64" t="s">
        <v>557</v>
      </c>
      <c r="D13" s="64" t="s">
        <v>558</v>
      </c>
      <c r="E13" s="64" t="s">
        <v>559</v>
      </c>
    </row>
    <row r="14">
      <c r="A14" s="63" t="s">
        <v>560</v>
      </c>
      <c r="B14" s="64" t="s">
        <v>561</v>
      </c>
      <c r="C14" s="64" t="s">
        <v>562</v>
      </c>
      <c r="D14" s="64" t="s">
        <v>563</v>
      </c>
      <c r="E14" s="64" t="s">
        <v>564</v>
      </c>
    </row>
    <row r="15">
      <c r="A15" s="63" t="s">
        <v>565</v>
      </c>
      <c r="B15" s="64" t="s">
        <v>566</v>
      </c>
      <c r="C15" s="64" t="s">
        <v>567</v>
      </c>
      <c r="D15" s="64" t="s">
        <v>568</v>
      </c>
      <c r="E15" s="64" t="s">
        <v>569</v>
      </c>
    </row>
    <row r="18">
      <c r="A18" s="13" t="s">
        <v>570</v>
      </c>
      <c r="B18" s="38"/>
      <c r="C18" s="38"/>
      <c r="D18" s="38"/>
      <c r="E18" s="38"/>
    </row>
    <row r="19">
      <c r="A19" s="6" t="s">
        <v>510</v>
      </c>
      <c r="B19" s="6" t="s">
        <v>571</v>
      </c>
      <c r="C19" s="6" t="s">
        <v>572</v>
      </c>
      <c r="D19" s="6" t="s">
        <v>573</v>
      </c>
      <c r="E19" s="6" t="s">
        <v>574</v>
      </c>
    </row>
    <row r="20">
      <c r="A20" s="65" t="s">
        <v>575</v>
      </c>
      <c r="B20" s="64" t="s">
        <v>576</v>
      </c>
      <c r="C20" s="64" t="s">
        <v>577</v>
      </c>
      <c r="D20" s="64" t="s">
        <v>578</v>
      </c>
      <c r="E20" s="64" t="s">
        <v>579</v>
      </c>
    </row>
    <row r="21" ht="15.75" customHeight="1">
      <c r="A21" s="65" t="s">
        <v>575</v>
      </c>
      <c r="B21" s="64" t="s">
        <v>580</v>
      </c>
      <c r="C21" s="64" t="s">
        <v>581</v>
      </c>
      <c r="D21" s="64" t="s">
        <v>582</v>
      </c>
      <c r="E21" s="64" t="s">
        <v>583</v>
      </c>
    </row>
    <row r="22" ht="15.75" customHeight="1">
      <c r="A22" s="65" t="s">
        <v>575</v>
      </c>
      <c r="B22" s="64" t="s">
        <v>584</v>
      </c>
      <c r="C22" s="64" t="s">
        <v>585</v>
      </c>
      <c r="D22" s="64" t="s">
        <v>586</v>
      </c>
      <c r="E22" s="64" t="s">
        <v>587</v>
      </c>
    </row>
    <row r="23" ht="15.75" customHeight="1">
      <c r="A23" s="65" t="s">
        <v>575</v>
      </c>
      <c r="B23" s="64" t="s">
        <v>588</v>
      </c>
      <c r="C23" s="64" t="s">
        <v>589</v>
      </c>
      <c r="D23" s="64" t="s">
        <v>590</v>
      </c>
      <c r="E23" s="64" t="s">
        <v>591</v>
      </c>
    </row>
    <row r="24" ht="15.75" customHeight="1">
      <c r="A24" s="65" t="s">
        <v>592</v>
      </c>
      <c r="B24" s="64" t="s">
        <v>593</v>
      </c>
      <c r="C24" s="64" t="s">
        <v>594</v>
      </c>
      <c r="D24" s="64" t="s">
        <v>595</v>
      </c>
      <c r="E24" s="64" t="s">
        <v>596</v>
      </c>
    </row>
    <row r="25" ht="15.75" customHeight="1">
      <c r="A25" s="65" t="s">
        <v>597</v>
      </c>
      <c r="B25" s="64" t="s">
        <v>598</v>
      </c>
      <c r="C25" s="64" t="s">
        <v>599</v>
      </c>
      <c r="D25" s="64" t="s">
        <v>600</v>
      </c>
      <c r="E25" s="64" t="s">
        <v>601</v>
      </c>
    </row>
    <row r="26" ht="15.75" customHeight="1">
      <c r="A26" s="65" t="s">
        <v>597</v>
      </c>
      <c r="B26" s="64" t="s">
        <v>602</v>
      </c>
      <c r="C26" s="64" t="s">
        <v>603</v>
      </c>
      <c r="D26" s="64" t="s">
        <v>600</v>
      </c>
      <c r="E26" s="64" t="s">
        <v>604</v>
      </c>
    </row>
    <row r="27" ht="15.75" customHeight="1"/>
    <row r="28" ht="15.75" customHeight="1">
      <c r="A28" s="13" t="s">
        <v>605</v>
      </c>
      <c r="B28" s="38"/>
      <c r="C28" s="38"/>
      <c r="D28" s="38"/>
      <c r="E28" s="38"/>
    </row>
    <row r="29" ht="15.75" customHeight="1">
      <c r="A29" s="6" t="s">
        <v>510</v>
      </c>
      <c r="B29" s="6" t="s">
        <v>606</v>
      </c>
      <c r="C29" s="6" t="s">
        <v>607</v>
      </c>
      <c r="D29" s="6" t="s">
        <v>608</v>
      </c>
      <c r="E29" s="6" t="s">
        <v>609</v>
      </c>
    </row>
    <row r="30" ht="15.75" customHeight="1">
      <c r="A30" s="66" t="s">
        <v>610</v>
      </c>
      <c r="B30" s="64" t="s">
        <v>611</v>
      </c>
      <c r="C30" s="64" t="s">
        <v>612</v>
      </c>
      <c r="D30" s="64" t="s">
        <v>613</v>
      </c>
      <c r="E30" s="64" t="s">
        <v>614</v>
      </c>
    </row>
    <row r="31" ht="15.75" customHeight="1">
      <c r="A31" s="66" t="s">
        <v>615</v>
      </c>
      <c r="B31" s="64" t="s">
        <v>296</v>
      </c>
      <c r="C31" s="64" t="s">
        <v>616</v>
      </c>
      <c r="D31" s="64" t="s">
        <v>617</v>
      </c>
      <c r="E31" s="64" t="s">
        <v>618</v>
      </c>
    </row>
    <row r="32" ht="15.75" customHeight="1">
      <c r="A32" s="66" t="s">
        <v>619</v>
      </c>
      <c r="B32" s="64" t="s">
        <v>620</v>
      </c>
      <c r="C32" s="64" t="s">
        <v>621</v>
      </c>
      <c r="D32" s="64" t="s">
        <v>622</v>
      </c>
      <c r="E32" s="64" t="s">
        <v>623</v>
      </c>
    </row>
    <row r="33" ht="15.75" customHeight="1">
      <c r="A33" s="66" t="s">
        <v>624</v>
      </c>
      <c r="B33" s="64" t="s">
        <v>625</v>
      </c>
      <c r="C33" s="64" t="s">
        <v>626</v>
      </c>
      <c r="D33" s="64" t="s">
        <v>627</v>
      </c>
      <c r="E33" s="64" t="s">
        <v>628</v>
      </c>
    </row>
    <row r="34" ht="15.75" customHeight="1">
      <c r="A34" s="66" t="s">
        <v>629</v>
      </c>
      <c r="B34" s="64" t="s">
        <v>630</v>
      </c>
      <c r="C34" s="64" t="s">
        <v>631</v>
      </c>
      <c r="D34" s="64" t="s">
        <v>632</v>
      </c>
      <c r="E34" s="64" t="s">
        <v>633</v>
      </c>
    </row>
    <row r="35" ht="15.75" customHeight="1">
      <c r="A35" s="66" t="s">
        <v>634</v>
      </c>
      <c r="B35" s="64" t="s">
        <v>635</v>
      </c>
      <c r="C35" s="64" t="s">
        <v>636</v>
      </c>
      <c r="D35" s="64" t="s">
        <v>637</v>
      </c>
      <c r="E35" s="64" t="s">
        <v>638</v>
      </c>
    </row>
    <row r="36" ht="15.75" customHeight="1">
      <c r="A36" s="66" t="s">
        <v>639</v>
      </c>
      <c r="B36" s="64" t="s">
        <v>640</v>
      </c>
      <c r="C36" s="64" t="s">
        <v>641</v>
      </c>
      <c r="D36" s="64" t="s">
        <v>642</v>
      </c>
      <c r="E36" s="64" t="s">
        <v>643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2026-02-25T12:35:50Z</dcterms:created>
  <dc:creator>openpyxl</dc:creator>
</cp:coreProperties>
</file>