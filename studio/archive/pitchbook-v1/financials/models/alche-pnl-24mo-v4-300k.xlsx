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Growth Curve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eci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%"/>
    <numFmt numFmtId="166" formatCode="€#,##0"/>
    <numFmt numFmtId="167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2C2418"/>
      <sz val="16"/>
    </font>
    <font>
      <name val="Calibri"/>
      <i val="1"/>
      <color rgb="009E948A"/>
      <sz val="9"/>
    </font>
    <font>
      <name val="Calibri"/>
      <b val="1"/>
      <color rgb="002C2418"/>
      <sz val="10"/>
    </font>
    <font>
      <name val="Calibri"/>
      <color rgb="005C5244"/>
      <sz val="10"/>
    </font>
    <font>
      <name val="Calibri"/>
      <b val="1"/>
      <color rgb="00FFFFFF"/>
      <sz val="10"/>
    </font>
    <font>
      <name val="Calibri"/>
      <color rgb="002C2418"/>
      <sz val="10"/>
    </font>
    <font>
      <name val="Calibri"/>
      <color rgb="008A7F73"/>
      <sz val="10"/>
    </font>
    <font>
      <name val="Calibri"/>
      <color rgb="008A7F73"/>
      <sz val="9"/>
    </font>
    <font>
      <name val="Calibri"/>
      <b val="1"/>
      <color rgb="002C2418"/>
      <sz val="11"/>
    </font>
    <font>
      <name val="Calibri"/>
      <b val="1"/>
      <color rgb="00B86B4A"/>
      <sz val="10"/>
    </font>
    <font>
      <name val="Calibri"/>
      <b val="1"/>
      <color rgb="00C4956A"/>
      <sz val="10"/>
    </font>
    <font>
      <name val="Calibri"/>
      <b val="1"/>
      <color rgb="008B9E7C"/>
      <sz val="10"/>
    </font>
  </fonts>
  <fills count="6">
    <fill>
      <patternFill/>
    </fill>
    <fill>
      <patternFill patternType="gray125"/>
    </fill>
    <fill>
      <patternFill patternType="solid">
        <fgColor rgb="00EDE7DC"/>
        <bgColor rgb="00EDE7DC"/>
      </patternFill>
    </fill>
    <fill>
      <patternFill patternType="solid">
        <fgColor rgb="003D3225"/>
        <bgColor rgb="003D3225"/>
      </patternFill>
    </fill>
    <fill>
      <patternFill patternType="solid">
        <fgColor rgb="00E5DDD3"/>
        <bgColor rgb="00E5DDD3"/>
      </patternFill>
    </fill>
    <fill>
      <patternFill patternType="solid">
        <fgColor rgb="00D8CFC3"/>
        <bgColor rgb="00D8CFC3"/>
      </patternFill>
    </fill>
  </fills>
  <borders count="4">
    <border>
      <left/>
      <right/>
      <top/>
      <bottom/>
      <diagonal/>
    </border>
    <border>
      <bottom style="thin">
        <color rgb="00D8CFC3"/>
      </bottom>
    </border>
    <border>
      <bottom style="thick">
        <color rgb="00C4956A"/>
      </bottom>
    </border>
    <border>
      <top style="medium">
        <color rgb="002C2418"/>
      </top>
      <bottom style="medium">
        <color rgb="002C2418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7" fillId="0" borderId="0" pivotButton="0" quotePrefix="0" xfId="0"/>
    <xf numFmtId="3" fontId="7" fillId="0" borderId="0" applyAlignment="1" pivotButton="0" quotePrefix="0" xfId="0">
      <alignment horizontal="right" vertical="center"/>
    </xf>
    <xf numFmtId="0" fontId="3" fillId="4" borderId="1" pivotButton="0" quotePrefix="0" xfId="0"/>
    <xf numFmtId="3" fontId="3" fillId="4" borderId="1" applyAlignment="1" pivotButton="0" quotePrefix="0" xfId="0">
      <alignment horizontal="right" vertical="center"/>
    </xf>
    <xf numFmtId="0" fontId="3" fillId="2" borderId="0" pivotButton="0" quotePrefix="0" xfId="0"/>
    <xf numFmtId="0" fontId="8" fillId="0" borderId="0" pivotButton="0" quotePrefix="0" xfId="0"/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0" fontId="6" fillId="0" borderId="2" pivotButton="0" quotePrefix="0" xfId="0"/>
    <xf numFmtId="3" fontId="6" fillId="0" borderId="2" applyAlignment="1" pivotButton="0" quotePrefix="0" xfId="0">
      <alignment horizontal="right" vertical="center"/>
    </xf>
    <xf numFmtId="0" fontId="7" fillId="0" borderId="2" pivotButton="0" quotePrefix="0" xfId="0"/>
    <xf numFmtId="3" fontId="7" fillId="0" borderId="2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9" fillId="5" borderId="3" pivotButton="0" quotePrefix="0" xfId="0"/>
    <xf numFmtId="3" fontId="9" fillId="5" borderId="3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3" fillId="4" borderId="2" pivotButton="0" quotePrefix="0" xfId="0"/>
    <xf numFmtId="3" fontId="3" fillId="4" borderId="2" applyAlignment="1" pivotButton="0" quotePrefix="0" xfId="0">
      <alignment horizontal="right" vertical="center"/>
    </xf>
    <xf numFmtId="3" fontId="7" fillId="0" borderId="0" pivotButton="0" quotePrefix="0" xfId="0"/>
    <xf numFmtId="3" fontId="3" fillId="4" borderId="1" pivotButton="0" quotePrefix="0" xfId="0"/>
    <xf numFmtId="4" fontId="7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2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3" fontId="3" fillId="0" borderId="0" pivotButton="0" quotePrefix="0" xfId="0"/>
    <xf numFmtId="0" fontId="3" fillId="4" borderId="0" pivotButton="0" quotePrefix="0" xfId="0"/>
    <xf numFmtId="3" fontId="3" fillId="4" borderId="0" applyAlignment="1" pivotButton="0" quotePrefix="0" xfId="0">
      <alignment horizontal="right" vertical="center"/>
    </xf>
    <xf numFmtId="3" fontId="9" fillId="5" borderId="3" pivotButton="0" quotePrefix="0" xfId="0"/>
    <xf numFmtId="4" fontId="6" fillId="0" borderId="0" applyAlignment="1" pivotButton="0" quotePrefix="0" xfId="0">
      <alignment horizontal="right" vertical="center"/>
    </xf>
    <xf numFmtId="167" fontId="3" fillId="4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wrapText="1"/>
    </xf>
    <xf numFmtId="0" fontId="10" fillId="0" borderId="1" pivotButton="0" quotePrefix="0" xfId="0"/>
    <xf numFmtId="0" fontId="6" fillId="0" borderId="1" pivotButton="0" quotePrefix="0" xfId="0"/>
    <xf numFmtId="0" fontId="11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56A"/>
    <outlinePr summaryBelow="1" summaryRight="1"/>
    <pageSetUpPr/>
  </sheetPr>
  <dimension ref="A1:Z18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alche — 24-Month P&amp;L v4</t>
        </is>
      </c>
    </row>
    <row r="2">
      <c r="A2" s="2" t="inlineStr">
        <is>
          <t>Pre-Seed | EUR 300K @ EUR 2.5M Cap | v4: Annual subs + B2B + Gift Cards + Corrected App/Rent costs</t>
        </is>
      </c>
    </row>
    <row r="3">
      <c r="A3" s="2" t="inlineStr">
        <is>
          <t>All amounts in EUR net of VAT. Click any cell to see the formula.</t>
        </is>
      </c>
    </row>
    <row r="4">
      <c r="A4" s="3" t="inlineStr">
        <is>
          <t>Budget P&amp;L (EUR)</t>
        </is>
      </c>
      <c r="B4" s="3" t="inlineStr">
        <is>
          <t>M1</t>
        </is>
      </c>
      <c r="C4" s="3" t="inlineStr">
        <is>
          <t>M2</t>
        </is>
      </c>
      <c r="D4" s="3" t="inlineStr">
        <is>
          <t>M3</t>
        </is>
      </c>
      <c r="E4" s="3" t="inlineStr">
        <is>
          <t>M4</t>
        </is>
      </c>
      <c r="F4" s="3" t="inlineStr">
        <is>
          <t>M5</t>
        </is>
      </c>
      <c r="G4" s="3" t="inlineStr">
        <is>
          <t>M6</t>
        </is>
      </c>
      <c r="H4" s="3" t="inlineStr">
        <is>
          <t>M7</t>
        </is>
      </c>
      <c r="I4" s="3" t="inlineStr">
        <is>
          <t>M8</t>
        </is>
      </c>
      <c r="J4" s="3" t="inlineStr">
        <is>
          <t>M9</t>
        </is>
      </c>
      <c r="K4" s="3" t="inlineStr">
        <is>
          <t>M10</t>
        </is>
      </c>
      <c r="L4" s="3" t="inlineStr">
        <is>
          <t>M11</t>
        </is>
      </c>
      <c r="M4" s="3" t="inlineStr">
        <is>
          <t>M12</t>
        </is>
      </c>
      <c r="N4" s="3" t="inlineStr">
        <is>
          <t>M13</t>
        </is>
      </c>
      <c r="O4" s="3" t="inlineStr">
        <is>
          <t>M14</t>
        </is>
      </c>
      <c r="P4" s="3" t="inlineStr">
        <is>
          <t>M15</t>
        </is>
      </c>
      <c r="Q4" s="3" t="inlineStr">
        <is>
          <t>M16</t>
        </is>
      </c>
      <c r="R4" s="3" t="inlineStr">
        <is>
          <t>M17</t>
        </is>
      </c>
      <c r="S4" s="3" t="inlineStr">
        <is>
          <t>M18</t>
        </is>
      </c>
      <c r="T4" s="3" t="inlineStr">
        <is>
          <t>M19</t>
        </is>
      </c>
      <c r="U4" s="3" t="inlineStr">
        <is>
          <t>M20</t>
        </is>
      </c>
      <c r="V4" s="3" t="inlineStr">
        <is>
          <t>M21</t>
        </is>
      </c>
      <c r="W4" s="3" t="inlineStr">
        <is>
          <t>M22</t>
        </is>
      </c>
      <c r="X4" s="3" t="inlineStr">
        <is>
          <t>M23</t>
        </is>
      </c>
      <c r="Y4" s="3" t="inlineStr">
        <is>
          <t>M24</t>
        </is>
      </c>
      <c r="Z4" s="3" t="inlineStr">
        <is>
          <t>TOTAL</t>
        </is>
      </c>
    </row>
    <row r="5">
      <c r="A5" s="4" t="inlineStr">
        <is>
          <t>SUBSCRIBER METRICS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5" t="inlineStr">
        <is>
          <t xml:space="preserve">  New Subs Added</t>
        </is>
      </c>
      <c r="B6" s="6">
        <f>'Growth Curves'!B15</f>
        <v/>
      </c>
      <c r="C6" s="6">
        <f>'Growth Curves'!C15</f>
        <v/>
      </c>
      <c r="D6" s="6">
        <f>'Growth Curves'!D15</f>
        <v/>
      </c>
      <c r="E6" s="6">
        <f>'Growth Curves'!E15</f>
        <v/>
      </c>
      <c r="F6" s="6">
        <f>'Growth Curves'!F15</f>
        <v/>
      </c>
      <c r="G6" s="6">
        <f>'Growth Curves'!G15</f>
        <v/>
      </c>
      <c r="H6" s="6">
        <f>'Growth Curves'!H15</f>
        <v/>
      </c>
      <c r="I6" s="6">
        <f>'Growth Curves'!I15</f>
        <v/>
      </c>
      <c r="J6" s="6">
        <f>'Growth Curves'!J15</f>
        <v/>
      </c>
      <c r="K6" s="6">
        <f>'Growth Curves'!K15</f>
        <v/>
      </c>
      <c r="L6" s="6">
        <f>'Growth Curves'!L15</f>
        <v/>
      </c>
      <c r="M6" s="6">
        <f>'Growth Curves'!M15</f>
        <v/>
      </c>
      <c r="N6" s="6">
        <f>'Growth Curves'!N15</f>
        <v/>
      </c>
      <c r="O6" s="6">
        <f>'Growth Curves'!O15</f>
        <v/>
      </c>
      <c r="P6" s="6">
        <f>'Growth Curves'!P15</f>
        <v/>
      </c>
      <c r="Q6" s="6">
        <f>'Growth Curves'!Q15</f>
        <v/>
      </c>
      <c r="R6" s="6">
        <f>'Growth Curves'!R15</f>
        <v/>
      </c>
      <c r="S6" s="6">
        <f>'Growth Curves'!S15</f>
        <v/>
      </c>
      <c r="T6" s="6">
        <f>'Growth Curves'!T15</f>
        <v/>
      </c>
      <c r="U6" s="6">
        <f>'Growth Curves'!U15</f>
        <v/>
      </c>
      <c r="V6" s="6">
        <f>'Growth Curves'!V15</f>
        <v/>
      </c>
      <c r="W6" s="6">
        <f>'Growth Curves'!W15</f>
        <v/>
      </c>
      <c r="X6" s="6">
        <f>'Growth Curves'!X15</f>
        <v/>
      </c>
      <c r="Y6" s="6">
        <f>'Growth Curves'!Y15</f>
        <v/>
      </c>
      <c r="Z6" s="6">
        <f>SUM(B6:Y6)</f>
        <v/>
      </c>
    </row>
    <row r="7">
      <c r="A7" s="5" t="inlineStr">
        <is>
          <t xml:space="preserve">  Churned Subs</t>
        </is>
      </c>
      <c r="B7" s="6">
        <f>'Growth Curves'!B16</f>
        <v/>
      </c>
      <c r="C7" s="6">
        <f>'Growth Curves'!C16</f>
        <v/>
      </c>
      <c r="D7" s="6">
        <f>'Growth Curves'!D16</f>
        <v/>
      </c>
      <c r="E7" s="6">
        <f>'Growth Curves'!E16</f>
        <v/>
      </c>
      <c r="F7" s="6">
        <f>'Growth Curves'!F16</f>
        <v/>
      </c>
      <c r="G7" s="6">
        <f>'Growth Curves'!G16</f>
        <v/>
      </c>
      <c r="H7" s="6">
        <f>'Growth Curves'!H16</f>
        <v/>
      </c>
      <c r="I7" s="6">
        <f>'Growth Curves'!I16</f>
        <v/>
      </c>
      <c r="J7" s="6">
        <f>'Growth Curves'!J16</f>
        <v/>
      </c>
      <c r="K7" s="6">
        <f>'Growth Curves'!K16</f>
        <v/>
      </c>
      <c r="L7" s="6">
        <f>'Growth Curves'!L16</f>
        <v/>
      </c>
      <c r="M7" s="6">
        <f>'Growth Curves'!M16</f>
        <v/>
      </c>
      <c r="N7" s="6">
        <f>'Growth Curves'!N16</f>
        <v/>
      </c>
      <c r="O7" s="6">
        <f>'Growth Curves'!O16</f>
        <v/>
      </c>
      <c r="P7" s="6">
        <f>'Growth Curves'!P16</f>
        <v/>
      </c>
      <c r="Q7" s="6">
        <f>'Growth Curves'!Q16</f>
        <v/>
      </c>
      <c r="R7" s="6">
        <f>'Growth Curves'!R16</f>
        <v/>
      </c>
      <c r="S7" s="6">
        <f>'Growth Curves'!S16</f>
        <v/>
      </c>
      <c r="T7" s="6">
        <f>'Growth Curves'!T16</f>
        <v/>
      </c>
      <c r="U7" s="6">
        <f>'Growth Curves'!U16</f>
        <v/>
      </c>
      <c r="V7" s="6">
        <f>'Growth Curves'!V16</f>
        <v/>
      </c>
      <c r="W7" s="6">
        <f>'Growth Curves'!W16</f>
        <v/>
      </c>
      <c r="X7" s="6">
        <f>'Growth Curves'!X16</f>
        <v/>
      </c>
      <c r="Y7" s="6">
        <f>'Growth Curves'!Y16</f>
        <v/>
      </c>
      <c r="Z7" s="6">
        <f>SUM(B7:Y7)</f>
        <v/>
      </c>
    </row>
    <row r="8">
      <c r="A8" s="7" t="inlineStr">
        <is>
          <t xml:space="preserve">  Total Subscribers</t>
        </is>
      </c>
      <c r="B8" s="8">
        <f>'Growth Curves'!B17</f>
        <v/>
      </c>
      <c r="C8" s="8">
        <f>'Growth Curves'!C17</f>
        <v/>
      </c>
      <c r="D8" s="8">
        <f>'Growth Curves'!D17</f>
        <v/>
      </c>
      <c r="E8" s="8">
        <f>'Growth Curves'!E17</f>
        <v/>
      </c>
      <c r="F8" s="8">
        <f>'Growth Curves'!F17</f>
        <v/>
      </c>
      <c r="G8" s="8">
        <f>'Growth Curves'!G17</f>
        <v/>
      </c>
      <c r="H8" s="8">
        <f>'Growth Curves'!H17</f>
        <v/>
      </c>
      <c r="I8" s="8">
        <f>'Growth Curves'!I17</f>
        <v/>
      </c>
      <c r="J8" s="8">
        <f>'Growth Curves'!J17</f>
        <v/>
      </c>
      <c r="K8" s="8">
        <f>'Growth Curves'!K17</f>
        <v/>
      </c>
      <c r="L8" s="8">
        <f>'Growth Curves'!L17</f>
        <v/>
      </c>
      <c r="M8" s="8">
        <f>'Growth Curves'!M17</f>
        <v/>
      </c>
      <c r="N8" s="8">
        <f>'Growth Curves'!N17</f>
        <v/>
      </c>
      <c r="O8" s="8">
        <f>'Growth Curves'!O17</f>
        <v/>
      </c>
      <c r="P8" s="8">
        <f>'Growth Curves'!P17</f>
        <v/>
      </c>
      <c r="Q8" s="8">
        <f>'Growth Curves'!Q17</f>
        <v/>
      </c>
      <c r="R8" s="8">
        <f>'Growth Curves'!R17</f>
        <v/>
      </c>
      <c r="S8" s="8">
        <f>'Growth Curves'!S17</f>
        <v/>
      </c>
      <c r="T8" s="8">
        <f>'Growth Curves'!T17</f>
        <v/>
      </c>
      <c r="U8" s="8">
        <f>'Growth Curves'!U17</f>
        <v/>
      </c>
      <c r="V8" s="8">
        <f>'Growth Curves'!V17</f>
        <v/>
      </c>
      <c r="W8" s="8">
        <f>'Growth Curves'!W17</f>
        <v/>
      </c>
      <c r="X8" s="8">
        <f>'Growth Curves'!X17</f>
        <v/>
      </c>
      <c r="Y8" s="8">
        <f>'Growth Curves'!Y17</f>
        <v/>
      </c>
      <c r="Z8" s="8">
        <f>SUM(B8:Y8)</f>
        <v/>
      </c>
    </row>
    <row r="9">
      <c r="A9" s="5" t="inlineStr">
        <is>
          <t xml:space="preserve">    Core (52%)</t>
        </is>
      </c>
      <c r="B9" s="6">
        <f>'Growth Curves'!B18</f>
        <v/>
      </c>
      <c r="C9" s="6">
        <f>'Growth Curves'!C18</f>
        <v/>
      </c>
      <c r="D9" s="6">
        <f>'Growth Curves'!D18</f>
        <v/>
      </c>
      <c r="E9" s="6">
        <f>'Growth Curves'!E18</f>
        <v/>
      </c>
      <c r="F9" s="6">
        <f>'Growth Curves'!F18</f>
        <v/>
      </c>
      <c r="G9" s="6">
        <f>'Growth Curves'!G18</f>
        <v/>
      </c>
      <c r="H9" s="6">
        <f>'Growth Curves'!H18</f>
        <v/>
      </c>
      <c r="I9" s="6">
        <f>'Growth Curves'!I18</f>
        <v/>
      </c>
      <c r="J9" s="6">
        <f>'Growth Curves'!J18</f>
        <v/>
      </c>
      <c r="K9" s="6">
        <f>'Growth Curves'!K18</f>
        <v/>
      </c>
      <c r="L9" s="6">
        <f>'Growth Curves'!L18</f>
        <v/>
      </c>
      <c r="M9" s="6">
        <f>'Growth Curves'!M18</f>
        <v/>
      </c>
      <c r="N9" s="6">
        <f>'Growth Curves'!N18</f>
        <v/>
      </c>
      <c r="O9" s="6">
        <f>'Growth Curves'!O18</f>
        <v/>
      </c>
      <c r="P9" s="6">
        <f>'Growth Curves'!P18</f>
        <v/>
      </c>
      <c r="Q9" s="6">
        <f>'Growth Curves'!Q18</f>
        <v/>
      </c>
      <c r="R9" s="6">
        <f>'Growth Curves'!R18</f>
        <v/>
      </c>
      <c r="S9" s="6">
        <f>'Growth Curves'!S18</f>
        <v/>
      </c>
      <c r="T9" s="6">
        <f>'Growth Curves'!T18</f>
        <v/>
      </c>
      <c r="U9" s="6">
        <f>'Growth Curves'!U18</f>
        <v/>
      </c>
      <c r="V9" s="6">
        <f>'Growth Curves'!V18</f>
        <v/>
      </c>
      <c r="W9" s="6">
        <f>'Growth Curves'!W18</f>
        <v/>
      </c>
      <c r="X9" s="6">
        <f>'Growth Curves'!X18</f>
        <v/>
      </c>
      <c r="Y9" s="6">
        <f>'Growth Curves'!Y18</f>
        <v/>
      </c>
      <c r="Z9" s="6">
        <f>SUM(B9:Y9)</f>
        <v/>
      </c>
    </row>
    <row r="10">
      <c r="A10" s="5" t="inlineStr">
        <is>
          <t xml:space="preserve">    Pro (38%)</t>
        </is>
      </c>
      <c r="B10" s="6">
        <f>'Growth Curves'!B19</f>
        <v/>
      </c>
      <c r="C10" s="6">
        <f>'Growth Curves'!C19</f>
        <v/>
      </c>
      <c r="D10" s="6">
        <f>'Growth Curves'!D19</f>
        <v/>
      </c>
      <c r="E10" s="6">
        <f>'Growth Curves'!E19</f>
        <v/>
      </c>
      <c r="F10" s="6">
        <f>'Growth Curves'!F19</f>
        <v/>
      </c>
      <c r="G10" s="6">
        <f>'Growth Curves'!G19</f>
        <v/>
      </c>
      <c r="H10" s="6">
        <f>'Growth Curves'!H19</f>
        <v/>
      </c>
      <c r="I10" s="6">
        <f>'Growth Curves'!I19</f>
        <v/>
      </c>
      <c r="J10" s="6">
        <f>'Growth Curves'!J19</f>
        <v/>
      </c>
      <c r="K10" s="6">
        <f>'Growth Curves'!K19</f>
        <v/>
      </c>
      <c r="L10" s="6">
        <f>'Growth Curves'!L19</f>
        <v/>
      </c>
      <c r="M10" s="6">
        <f>'Growth Curves'!M19</f>
        <v/>
      </c>
      <c r="N10" s="6">
        <f>'Growth Curves'!N19</f>
        <v/>
      </c>
      <c r="O10" s="6">
        <f>'Growth Curves'!O19</f>
        <v/>
      </c>
      <c r="P10" s="6">
        <f>'Growth Curves'!P19</f>
        <v/>
      </c>
      <c r="Q10" s="6">
        <f>'Growth Curves'!Q19</f>
        <v/>
      </c>
      <c r="R10" s="6">
        <f>'Growth Curves'!R19</f>
        <v/>
      </c>
      <c r="S10" s="6">
        <f>'Growth Curves'!S19</f>
        <v/>
      </c>
      <c r="T10" s="6">
        <f>'Growth Curves'!T19</f>
        <v/>
      </c>
      <c r="U10" s="6">
        <f>'Growth Curves'!U19</f>
        <v/>
      </c>
      <c r="V10" s="6">
        <f>'Growth Curves'!V19</f>
        <v/>
      </c>
      <c r="W10" s="6">
        <f>'Growth Curves'!W19</f>
        <v/>
      </c>
      <c r="X10" s="6">
        <f>'Growth Curves'!X19</f>
        <v/>
      </c>
      <c r="Y10" s="6">
        <f>'Growth Curves'!Y19</f>
        <v/>
      </c>
      <c r="Z10" s="6">
        <f>SUM(B10:Y10)</f>
        <v/>
      </c>
    </row>
    <row r="11">
      <c r="A11" s="5" t="inlineStr">
        <is>
          <t xml:space="preserve">    Premium (10%)</t>
        </is>
      </c>
      <c r="B11" s="6">
        <f>'Growth Curves'!B20</f>
        <v/>
      </c>
      <c r="C11" s="6">
        <f>'Growth Curves'!C20</f>
        <v/>
      </c>
      <c r="D11" s="6">
        <f>'Growth Curves'!D20</f>
        <v/>
      </c>
      <c r="E11" s="6">
        <f>'Growth Curves'!E20</f>
        <v/>
      </c>
      <c r="F11" s="6">
        <f>'Growth Curves'!F20</f>
        <v/>
      </c>
      <c r="G11" s="6">
        <f>'Growth Curves'!G20</f>
        <v/>
      </c>
      <c r="H11" s="6">
        <f>'Growth Curves'!H20</f>
        <v/>
      </c>
      <c r="I11" s="6">
        <f>'Growth Curves'!I20</f>
        <v/>
      </c>
      <c r="J11" s="6">
        <f>'Growth Curves'!J20</f>
        <v/>
      </c>
      <c r="K11" s="6">
        <f>'Growth Curves'!K20</f>
        <v/>
      </c>
      <c r="L11" s="6">
        <f>'Growth Curves'!L20</f>
        <v/>
      </c>
      <c r="M11" s="6">
        <f>'Growth Curves'!M20</f>
        <v/>
      </c>
      <c r="N11" s="6">
        <f>'Growth Curves'!N20</f>
        <v/>
      </c>
      <c r="O11" s="6">
        <f>'Growth Curves'!O20</f>
        <v/>
      </c>
      <c r="P11" s="6">
        <f>'Growth Curves'!P20</f>
        <v/>
      </c>
      <c r="Q11" s="6">
        <f>'Growth Curves'!Q20</f>
        <v/>
      </c>
      <c r="R11" s="6">
        <f>'Growth Curves'!R20</f>
        <v/>
      </c>
      <c r="S11" s="6">
        <f>'Growth Curves'!S20</f>
        <v/>
      </c>
      <c r="T11" s="6">
        <f>'Growth Curves'!T20</f>
        <v/>
      </c>
      <c r="U11" s="6">
        <f>'Growth Curves'!U20</f>
        <v/>
      </c>
      <c r="V11" s="6">
        <f>'Growth Curves'!V20</f>
        <v/>
      </c>
      <c r="W11" s="6">
        <f>'Growth Curves'!W20</f>
        <v/>
      </c>
      <c r="X11" s="6">
        <f>'Growth Curves'!X20</f>
        <v/>
      </c>
      <c r="Y11" s="6">
        <f>'Growth Curves'!Y20</f>
        <v/>
      </c>
      <c r="Z11" s="6">
        <f>SUM(B11:Y11)</f>
        <v/>
      </c>
    </row>
    <row r="13">
      <c r="A13" s="4" t="inlineStr">
        <is>
          <t>INCOME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9" t="inlineStr">
        <is>
          <t xml:space="preserve">  Retail Products (D11: EUR 49 validated, COGS EUR 23.50)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10" t="inlineStr">
        <is>
          <t xml:space="preserve">    Units sold</t>
        </is>
      </c>
      <c r="B15" s="11">
        <f>'Growth Curves'!B4</f>
        <v/>
      </c>
      <c r="C15" s="11">
        <f>'Growth Curves'!C4</f>
        <v/>
      </c>
      <c r="D15" s="11">
        <f>'Growth Curves'!D4</f>
        <v/>
      </c>
      <c r="E15" s="11">
        <f>'Growth Curves'!E4</f>
        <v/>
      </c>
      <c r="F15" s="11">
        <f>'Growth Curves'!F4</f>
        <v/>
      </c>
      <c r="G15" s="11">
        <f>'Growth Curves'!G4</f>
        <v/>
      </c>
      <c r="H15" s="11">
        <f>'Growth Curves'!H4</f>
        <v/>
      </c>
      <c r="I15" s="11">
        <f>'Growth Curves'!I4</f>
        <v/>
      </c>
      <c r="J15" s="11">
        <f>'Growth Curves'!J4</f>
        <v/>
      </c>
      <c r="K15" s="11">
        <f>'Growth Curves'!K4</f>
        <v/>
      </c>
      <c r="L15" s="11">
        <f>'Growth Curves'!L4</f>
        <v/>
      </c>
      <c r="M15" s="11">
        <f>'Growth Curves'!M4</f>
        <v/>
      </c>
      <c r="N15" s="11">
        <f>'Growth Curves'!N4</f>
        <v/>
      </c>
      <c r="O15" s="11">
        <f>'Growth Curves'!O4</f>
        <v/>
      </c>
      <c r="P15" s="11">
        <f>'Growth Curves'!P4</f>
        <v/>
      </c>
      <c r="Q15" s="11">
        <f>'Growth Curves'!Q4</f>
        <v/>
      </c>
      <c r="R15" s="11">
        <f>'Growth Curves'!R4</f>
        <v/>
      </c>
      <c r="S15" s="11">
        <f>'Growth Curves'!S4</f>
        <v/>
      </c>
      <c r="T15" s="11">
        <f>'Growth Curves'!T4</f>
        <v/>
      </c>
      <c r="U15" s="11">
        <f>'Growth Curves'!U4</f>
        <v/>
      </c>
      <c r="V15" s="11">
        <f>'Growth Curves'!V4</f>
        <v/>
      </c>
      <c r="W15" s="11">
        <f>'Growth Curves'!W4</f>
        <v/>
      </c>
      <c r="X15" s="11">
        <f>'Growth Curves'!X4</f>
        <v/>
      </c>
      <c r="Y15" s="11">
        <f>'Growth Curves'!Y4</f>
        <v/>
      </c>
      <c r="Z15" s="11">
        <f>SUM(B15:Y15)</f>
        <v/>
      </c>
    </row>
    <row r="16">
      <c r="A16" s="10" t="inlineStr">
        <is>
          <t xml:space="preserve">    Price/unit</t>
        </is>
      </c>
      <c r="B16" s="12">
        <f>Assumptions!B22</f>
        <v/>
      </c>
      <c r="C16" s="12">
        <f>Assumptions!B22</f>
        <v/>
      </c>
      <c r="D16" s="12">
        <f>Assumptions!B22</f>
        <v/>
      </c>
      <c r="E16" s="12">
        <f>Assumptions!B22</f>
        <v/>
      </c>
      <c r="F16" s="12">
        <f>Assumptions!B22</f>
        <v/>
      </c>
      <c r="G16" s="12">
        <f>Assumptions!B22</f>
        <v/>
      </c>
      <c r="H16" s="12">
        <f>Assumptions!B22</f>
        <v/>
      </c>
      <c r="I16" s="12">
        <f>Assumptions!B22</f>
        <v/>
      </c>
      <c r="J16" s="12">
        <f>Assumptions!B22</f>
        <v/>
      </c>
      <c r="K16" s="12">
        <f>Assumptions!B22</f>
        <v/>
      </c>
      <c r="L16" s="12">
        <f>Assumptions!B22</f>
        <v/>
      </c>
      <c r="M16" s="12">
        <f>Assumptions!B22</f>
        <v/>
      </c>
      <c r="N16" s="12">
        <f>Assumptions!B22</f>
        <v/>
      </c>
      <c r="O16" s="12">
        <f>Assumptions!B22</f>
        <v/>
      </c>
      <c r="P16" s="12">
        <f>Assumptions!B22</f>
        <v/>
      </c>
      <c r="Q16" s="12">
        <f>Assumptions!B22</f>
        <v/>
      </c>
      <c r="R16" s="12">
        <f>Assumptions!B22</f>
        <v/>
      </c>
      <c r="S16" s="12">
        <f>Assumptions!B22</f>
        <v/>
      </c>
      <c r="T16" s="12">
        <f>Assumptions!B22</f>
        <v/>
      </c>
      <c r="U16" s="12">
        <f>Assumptions!B22</f>
        <v/>
      </c>
      <c r="V16" s="12">
        <f>Assumptions!B22</f>
        <v/>
      </c>
      <c r="W16" s="12">
        <f>Assumptions!B22</f>
        <v/>
      </c>
      <c r="X16" s="12">
        <f>Assumptions!B22</f>
        <v/>
      </c>
      <c r="Y16" s="12">
        <f>Assumptions!B22</f>
        <v/>
      </c>
      <c r="Z16" s="12">
        <f>SUM(B16:Y16)</f>
        <v/>
      </c>
    </row>
    <row r="17">
      <c r="A17" s="13" t="inlineStr">
        <is>
          <t xml:space="preserve">    Revenue</t>
        </is>
      </c>
      <c r="B17" s="14">
        <f>B15*Assumptions!B22</f>
        <v/>
      </c>
      <c r="C17" s="14">
        <f>C15*Assumptions!B22</f>
        <v/>
      </c>
      <c r="D17" s="14">
        <f>D15*Assumptions!B22</f>
        <v/>
      </c>
      <c r="E17" s="14">
        <f>E15*Assumptions!B22</f>
        <v/>
      </c>
      <c r="F17" s="14">
        <f>F15*Assumptions!B22</f>
        <v/>
      </c>
      <c r="G17" s="14">
        <f>G15*Assumptions!B22</f>
        <v/>
      </c>
      <c r="H17" s="14">
        <f>H15*Assumptions!B22</f>
        <v/>
      </c>
      <c r="I17" s="14">
        <f>I15*Assumptions!B22</f>
        <v/>
      </c>
      <c r="J17" s="14">
        <f>J15*Assumptions!B22</f>
        <v/>
      </c>
      <c r="K17" s="14">
        <f>K15*Assumptions!B22</f>
        <v/>
      </c>
      <c r="L17" s="14">
        <f>L15*Assumptions!B22</f>
        <v/>
      </c>
      <c r="M17" s="14">
        <f>M15*Assumptions!B22</f>
        <v/>
      </c>
      <c r="N17" s="14">
        <f>N15*Assumptions!B22</f>
        <v/>
      </c>
      <c r="O17" s="14">
        <f>O15*Assumptions!B22</f>
        <v/>
      </c>
      <c r="P17" s="14">
        <f>P15*Assumptions!B22</f>
        <v/>
      </c>
      <c r="Q17" s="14">
        <f>Q15*Assumptions!B22</f>
        <v/>
      </c>
      <c r="R17" s="14">
        <f>R15*Assumptions!B22</f>
        <v/>
      </c>
      <c r="S17" s="14">
        <f>S15*Assumptions!B22</f>
        <v/>
      </c>
      <c r="T17" s="14">
        <f>T15*Assumptions!B22</f>
        <v/>
      </c>
      <c r="U17" s="14">
        <f>U15*Assumptions!B22</f>
        <v/>
      </c>
      <c r="V17" s="14">
        <f>V15*Assumptions!B22</f>
        <v/>
      </c>
      <c r="W17" s="14">
        <f>W15*Assumptions!B22</f>
        <v/>
      </c>
      <c r="X17" s="14">
        <f>X15*Assumptions!B22</f>
        <v/>
      </c>
      <c r="Y17" s="14">
        <f>Y15*Assumptions!B22</f>
        <v/>
      </c>
      <c r="Z17" s="14">
        <f>SUM(B17:Y17)</f>
        <v/>
      </c>
    </row>
    <row r="18">
      <c r="A18" s="9" t="inlineStr">
        <is>
          <t xml:space="preserve">  LED Therapy (Free with Smoothie)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10" t="inlineStr">
        <is>
          <t xml:space="preserve">    Sessions (self-service)</t>
        </is>
      </c>
      <c r="B19" s="11">
        <f>'Growth Curves'!B5</f>
        <v/>
      </c>
      <c r="C19" s="11">
        <f>'Growth Curves'!C5</f>
        <v/>
      </c>
      <c r="D19" s="11">
        <f>'Growth Curves'!D5</f>
        <v/>
      </c>
      <c r="E19" s="11">
        <f>'Growth Curves'!E5</f>
        <v/>
      </c>
      <c r="F19" s="11">
        <f>'Growth Curves'!F5</f>
        <v/>
      </c>
      <c r="G19" s="11">
        <f>'Growth Curves'!G5</f>
        <v/>
      </c>
      <c r="H19" s="11">
        <f>'Growth Curves'!H5</f>
        <v/>
      </c>
      <c r="I19" s="11">
        <f>'Growth Curves'!I5</f>
        <v/>
      </c>
      <c r="J19" s="11">
        <f>'Growth Curves'!J5</f>
        <v/>
      </c>
      <c r="K19" s="11">
        <f>'Growth Curves'!K5</f>
        <v/>
      </c>
      <c r="L19" s="11">
        <f>'Growth Curves'!L5</f>
        <v/>
      </c>
      <c r="M19" s="11">
        <f>'Growth Curves'!M5</f>
        <v/>
      </c>
      <c r="N19" s="11">
        <f>'Growth Curves'!N5</f>
        <v/>
      </c>
      <c r="O19" s="11">
        <f>'Growth Curves'!O5</f>
        <v/>
      </c>
      <c r="P19" s="11">
        <f>'Growth Curves'!P5</f>
        <v/>
      </c>
      <c r="Q19" s="11">
        <f>'Growth Curves'!Q5</f>
        <v/>
      </c>
      <c r="R19" s="11">
        <f>'Growth Curves'!R5</f>
        <v/>
      </c>
      <c r="S19" s="11">
        <f>'Growth Curves'!S5</f>
        <v/>
      </c>
      <c r="T19" s="11">
        <f>'Growth Curves'!T5</f>
        <v/>
      </c>
      <c r="U19" s="11">
        <f>'Growth Curves'!U5</f>
        <v/>
      </c>
      <c r="V19" s="11">
        <f>'Growth Curves'!V5</f>
        <v/>
      </c>
      <c r="W19" s="11">
        <f>'Growth Curves'!W5</f>
        <v/>
      </c>
      <c r="X19" s="11">
        <f>'Growth Curves'!X5</f>
        <v/>
      </c>
      <c r="Y19" s="11">
        <f>'Growth Curves'!Y5</f>
        <v/>
      </c>
      <c r="Z19" s="11">
        <f>SUM(B19:Y19)</f>
        <v/>
      </c>
    </row>
    <row r="20">
      <c r="A20" s="10" t="inlineStr">
        <is>
          <t xml:space="preserve">    Price/session</t>
        </is>
      </c>
      <c r="B20" s="12">
        <f>Assumptions!B24</f>
        <v/>
      </c>
      <c r="C20" s="12">
        <f>Assumptions!B24</f>
        <v/>
      </c>
      <c r="D20" s="12">
        <f>Assumptions!B24</f>
        <v/>
      </c>
      <c r="E20" s="12">
        <f>Assumptions!B24</f>
        <v/>
      </c>
      <c r="F20" s="12">
        <f>Assumptions!B24</f>
        <v/>
      </c>
      <c r="G20" s="12">
        <f>Assumptions!B24</f>
        <v/>
      </c>
      <c r="H20" s="12">
        <f>Assumptions!B24</f>
        <v/>
      </c>
      <c r="I20" s="12">
        <f>Assumptions!B24</f>
        <v/>
      </c>
      <c r="J20" s="12">
        <f>Assumptions!B24</f>
        <v/>
      </c>
      <c r="K20" s="12">
        <f>Assumptions!B24</f>
        <v/>
      </c>
      <c r="L20" s="12">
        <f>Assumptions!B24</f>
        <v/>
      </c>
      <c r="M20" s="12">
        <f>Assumptions!B24</f>
        <v/>
      </c>
      <c r="N20" s="12">
        <f>Assumptions!B24</f>
        <v/>
      </c>
      <c r="O20" s="12">
        <f>Assumptions!B24</f>
        <v/>
      </c>
      <c r="P20" s="12">
        <f>Assumptions!B24</f>
        <v/>
      </c>
      <c r="Q20" s="12">
        <f>Assumptions!B24</f>
        <v/>
      </c>
      <c r="R20" s="12">
        <f>Assumptions!B24</f>
        <v/>
      </c>
      <c r="S20" s="12">
        <f>Assumptions!B24</f>
        <v/>
      </c>
      <c r="T20" s="12">
        <f>Assumptions!B24</f>
        <v/>
      </c>
      <c r="U20" s="12">
        <f>Assumptions!B24</f>
        <v/>
      </c>
      <c r="V20" s="12">
        <f>Assumptions!B24</f>
        <v/>
      </c>
      <c r="W20" s="12">
        <f>Assumptions!B24</f>
        <v/>
      </c>
      <c r="X20" s="12">
        <f>Assumptions!B24</f>
        <v/>
      </c>
      <c r="Y20" s="12">
        <f>Assumptions!B24</f>
        <v/>
      </c>
      <c r="Z20" s="12">
        <f>SUM(B20:Y20)</f>
        <v/>
      </c>
    </row>
    <row r="21">
      <c r="A21" s="13" t="inlineStr">
        <is>
          <t xml:space="preserve">    Revenue (EUR 0 — free amenity)</t>
        </is>
      </c>
      <c r="B21" s="14">
        <f>B19*Assumptions!B24</f>
        <v/>
      </c>
      <c r="C21" s="14">
        <f>C19*Assumptions!B24</f>
        <v/>
      </c>
      <c r="D21" s="14">
        <f>D19*Assumptions!B24</f>
        <v/>
      </c>
      <c r="E21" s="14">
        <f>E19*Assumptions!B24</f>
        <v/>
      </c>
      <c r="F21" s="14">
        <f>F19*Assumptions!B24</f>
        <v/>
      </c>
      <c r="G21" s="14">
        <f>G19*Assumptions!B24</f>
        <v/>
      </c>
      <c r="H21" s="14">
        <f>H19*Assumptions!B24</f>
        <v/>
      </c>
      <c r="I21" s="14">
        <f>I19*Assumptions!B24</f>
        <v/>
      </c>
      <c r="J21" s="14">
        <f>J19*Assumptions!B24</f>
        <v/>
      </c>
      <c r="K21" s="14">
        <f>K19*Assumptions!B24</f>
        <v/>
      </c>
      <c r="L21" s="14">
        <f>L19*Assumptions!B24</f>
        <v/>
      </c>
      <c r="M21" s="14">
        <f>M19*Assumptions!B24</f>
        <v/>
      </c>
      <c r="N21" s="14">
        <f>N19*Assumptions!B24</f>
        <v/>
      </c>
      <c r="O21" s="14">
        <f>O19*Assumptions!B24</f>
        <v/>
      </c>
      <c r="P21" s="14">
        <f>P19*Assumptions!B24</f>
        <v/>
      </c>
      <c r="Q21" s="14">
        <f>Q19*Assumptions!B24</f>
        <v/>
      </c>
      <c r="R21" s="14">
        <f>R19*Assumptions!B24</f>
        <v/>
      </c>
      <c r="S21" s="14">
        <f>S19*Assumptions!B24</f>
        <v/>
      </c>
      <c r="T21" s="14">
        <f>T19*Assumptions!B24</f>
        <v/>
      </c>
      <c r="U21" s="14">
        <f>U19*Assumptions!B24</f>
        <v/>
      </c>
      <c r="V21" s="14">
        <f>V19*Assumptions!B24</f>
        <v/>
      </c>
      <c r="W21" s="14">
        <f>W19*Assumptions!B24</f>
        <v/>
      </c>
      <c r="X21" s="14">
        <f>X19*Assumptions!B24</f>
        <v/>
      </c>
      <c r="Y21" s="14">
        <f>Y19*Assumptions!B24</f>
        <v/>
      </c>
      <c r="Z21" s="14">
        <f>SUM(B21:Y21)</f>
        <v/>
      </c>
    </row>
    <row r="22">
      <c r="A22" s="9" t="inlineStr">
        <is>
          <t xml:space="preserve">  Smoothie Bar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10" t="inlineStr">
        <is>
          <t xml:space="preserve">    Units sold</t>
        </is>
      </c>
      <c r="B23" s="11">
        <f>'Growth Curves'!B6</f>
        <v/>
      </c>
      <c r="C23" s="11">
        <f>'Growth Curves'!C6</f>
        <v/>
      </c>
      <c r="D23" s="11">
        <f>'Growth Curves'!D6</f>
        <v/>
      </c>
      <c r="E23" s="11">
        <f>'Growth Curves'!E6</f>
        <v/>
      </c>
      <c r="F23" s="11">
        <f>'Growth Curves'!F6</f>
        <v/>
      </c>
      <c r="G23" s="11">
        <f>'Growth Curves'!G6</f>
        <v/>
      </c>
      <c r="H23" s="11">
        <f>'Growth Curves'!H6</f>
        <v/>
      </c>
      <c r="I23" s="11">
        <f>'Growth Curves'!I6</f>
        <v/>
      </c>
      <c r="J23" s="11">
        <f>'Growth Curves'!J6</f>
        <v/>
      </c>
      <c r="K23" s="11">
        <f>'Growth Curves'!K6</f>
        <v/>
      </c>
      <c r="L23" s="11">
        <f>'Growth Curves'!L6</f>
        <v/>
      </c>
      <c r="M23" s="11">
        <f>'Growth Curves'!M6</f>
        <v/>
      </c>
      <c r="N23" s="11">
        <f>'Growth Curves'!N6</f>
        <v/>
      </c>
      <c r="O23" s="11">
        <f>'Growth Curves'!O6</f>
        <v/>
      </c>
      <c r="P23" s="11">
        <f>'Growth Curves'!P6</f>
        <v/>
      </c>
      <c r="Q23" s="11">
        <f>'Growth Curves'!Q6</f>
        <v/>
      </c>
      <c r="R23" s="11">
        <f>'Growth Curves'!R6</f>
        <v/>
      </c>
      <c r="S23" s="11">
        <f>'Growth Curves'!S6</f>
        <v/>
      </c>
      <c r="T23" s="11">
        <f>'Growth Curves'!T6</f>
        <v/>
      </c>
      <c r="U23" s="11">
        <f>'Growth Curves'!U6</f>
        <v/>
      </c>
      <c r="V23" s="11">
        <f>'Growth Curves'!V6</f>
        <v/>
      </c>
      <c r="W23" s="11">
        <f>'Growth Curves'!W6</f>
        <v/>
      </c>
      <c r="X23" s="11">
        <f>'Growth Curves'!X6</f>
        <v/>
      </c>
      <c r="Y23" s="11">
        <f>'Growth Curves'!Y6</f>
        <v/>
      </c>
      <c r="Z23" s="11">
        <f>SUM(B23:Y23)</f>
        <v/>
      </c>
    </row>
    <row r="24">
      <c r="A24" s="10" t="inlineStr">
        <is>
          <t xml:space="preserve">    Price/smoothie</t>
        </is>
      </c>
      <c r="B24" s="12">
        <f>Assumptions!B26</f>
        <v/>
      </c>
      <c r="C24" s="12">
        <f>Assumptions!B26</f>
        <v/>
      </c>
      <c r="D24" s="12">
        <f>Assumptions!B26</f>
        <v/>
      </c>
      <c r="E24" s="12">
        <f>Assumptions!B26</f>
        <v/>
      </c>
      <c r="F24" s="12">
        <f>Assumptions!B26</f>
        <v/>
      </c>
      <c r="G24" s="12">
        <f>Assumptions!B26</f>
        <v/>
      </c>
      <c r="H24" s="12">
        <f>Assumptions!B26</f>
        <v/>
      </c>
      <c r="I24" s="12">
        <f>Assumptions!B26</f>
        <v/>
      </c>
      <c r="J24" s="12">
        <f>Assumptions!B26</f>
        <v/>
      </c>
      <c r="K24" s="12">
        <f>Assumptions!B26</f>
        <v/>
      </c>
      <c r="L24" s="12">
        <f>Assumptions!B26</f>
        <v/>
      </c>
      <c r="M24" s="12">
        <f>Assumptions!B26</f>
        <v/>
      </c>
      <c r="N24" s="12">
        <f>Assumptions!B26</f>
        <v/>
      </c>
      <c r="O24" s="12">
        <f>Assumptions!B26</f>
        <v/>
      </c>
      <c r="P24" s="12">
        <f>Assumptions!B26</f>
        <v/>
      </c>
      <c r="Q24" s="12">
        <f>Assumptions!B26</f>
        <v/>
      </c>
      <c r="R24" s="12">
        <f>Assumptions!B26</f>
        <v/>
      </c>
      <c r="S24" s="12">
        <f>Assumptions!B26</f>
        <v/>
      </c>
      <c r="T24" s="12">
        <f>Assumptions!B26</f>
        <v/>
      </c>
      <c r="U24" s="12">
        <f>Assumptions!B26</f>
        <v/>
      </c>
      <c r="V24" s="12">
        <f>Assumptions!B26</f>
        <v/>
      </c>
      <c r="W24" s="12">
        <f>Assumptions!B26</f>
        <v/>
      </c>
      <c r="X24" s="12">
        <f>Assumptions!B26</f>
        <v/>
      </c>
      <c r="Y24" s="12">
        <f>Assumptions!B26</f>
        <v/>
      </c>
      <c r="Z24" s="12">
        <f>SUM(B24:Y24)</f>
        <v/>
      </c>
    </row>
    <row r="25">
      <c r="A25" s="13" t="inlineStr">
        <is>
          <t xml:space="preserve">    Revenue</t>
        </is>
      </c>
      <c r="B25" s="14">
        <f>ROUND(B23*Assumptions!B26,0)</f>
        <v/>
      </c>
      <c r="C25" s="14">
        <f>ROUND(C23*Assumptions!B26,0)</f>
        <v/>
      </c>
      <c r="D25" s="14">
        <f>ROUND(D23*Assumptions!B26,0)</f>
        <v/>
      </c>
      <c r="E25" s="14">
        <f>ROUND(E23*Assumptions!B26,0)</f>
        <v/>
      </c>
      <c r="F25" s="14">
        <f>ROUND(F23*Assumptions!B26,0)</f>
        <v/>
      </c>
      <c r="G25" s="14">
        <f>ROUND(G23*Assumptions!B26,0)</f>
        <v/>
      </c>
      <c r="H25" s="14">
        <f>ROUND(H23*Assumptions!B26,0)</f>
        <v/>
      </c>
      <c r="I25" s="14">
        <f>ROUND(I23*Assumptions!B26,0)</f>
        <v/>
      </c>
      <c r="J25" s="14">
        <f>ROUND(J23*Assumptions!B26,0)</f>
        <v/>
      </c>
      <c r="K25" s="14">
        <f>ROUND(K23*Assumptions!B26,0)</f>
        <v/>
      </c>
      <c r="L25" s="14">
        <f>ROUND(L23*Assumptions!B26,0)</f>
        <v/>
      </c>
      <c r="M25" s="14">
        <f>ROUND(M23*Assumptions!B26,0)</f>
        <v/>
      </c>
      <c r="N25" s="14">
        <f>ROUND(N23*Assumptions!B26,0)</f>
        <v/>
      </c>
      <c r="O25" s="14">
        <f>ROUND(O23*Assumptions!B26,0)</f>
        <v/>
      </c>
      <c r="P25" s="14">
        <f>ROUND(P23*Assumptions!B26,0)</f>
        <v/>
      </c>
      <c r="Q25" s="14">
        <f>ROUND(Q23*Assumptions!B26,0)</f>
        <v/>
      </c>
      <c r="R25" s="14">
        <f>ROUND(R23*Assumptions!B26,0)</f>
        <v/>
      </c>
      <c r="S25" s="14">
        <f>ROUND(S23*Assumptions!B26,0)</f>
        <v/>
      </c>
      <c r="T25" s="14">
        <f>ROUND(T23*Assumptions!B26,0)</f>
        <v/>
      </c>
      <c r="U25" s="14">
        <f>ROUND(U23*Assumptions!B26,0)</f>
        <v/>
      </c>
      <c r="V25" s="14">
        <f>ROUND(V23*Assumptions!B26,0)</f>
        <v/>
      </c>
      <c r="W25" s="14">
        <f>ROUND(W23*Assumptions!B26,0)</f>
        <v/>
      </c>
      <c r="X25" s="14">
        <f>ROUND(X23*Assumptions!B26,0)</f>
        <v/>
      </c>
      <c r="Y25" s="14">
        <f>ROUND(Y23*Assumptions!B26,0)</f>
        <v/>
      </c>
      <c r="Z25" s="14">
        <f>SUM(B25:Y25)</f>
        <v/>
      </c>
    </row>
    <row r="26">
      <c r="A26" s="9" t="inlineStr">
        <is>
          <t xml:space="preserve">  Community Events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10" t="inlineStr">
        <is>
          <t xml:space="preserve">    Event count</t>
        </is>
      </c>
      <c r="B27" s="11">
        <f>'Growth Curves'!B7</f>
        <v/>
      </c>
      <c r="C27" s="11">
        <f>'Growth Curves'!C7</f>
        <v/>
      </c>
      <c r="D27" s="11">
        <f>'Growth Curves'!D7</f>
        <v/>
      </c>
      <c r="E27" s="11">
        <f>'Growth Curves'!E7</f>
        <v/>
      </c>
      <c r="F27" s="11">
        <f>'Growth Curves'!F7</f>
        <v/>
      </c>
      <c r="G27" s="11">
        <f>'Growth Curves'!G7</f>
        <v/>
      </c>
      <c r="H27" s="11">
        <f>'Growth Curves'!H7</f>
        <v/>
      </c>
      <c r="I27" s="11">
        <f>'Growth Curves'!I7</f>
        <v/>
      </c>
      <c r="J27" s="11">
        <f>'Growth Curves'!J7</f>
        <v/>
      </c>
      <c r="K27" s="11">
        <f>'Growth Curves'!K7</f>
        <v/>
      </c>
      <c r="L27" s="11">
        <f>'Growth Curves'!L7</f>
        <v/>
      </c>
      <c r="M27" s="11">
        <f>'Growth Curves'!M7</f>
        <v/>
      </c>
      <c r="N27" s="11">
        <f>'Growth Curves'!N7</f>
        <v/>
      </c>
      <c r="O27" s="11">
        <f>'Growth Curves'!O7</f>
        <v/>
      </c>
      <c r="P27" s="11">
        <f>'Growth Curves'!P7</f>
        <v/>
      </c>
      <c r="Q27" s="11">
        <f>'Growth Curves'!Q7</f>
        <v/>
      </c>
      <c r="R27" s="11">
        <f>'Growth Curves'!R7</f>
        <v/>
      </c>
      <c r="S27" s="11">
        <f>'Growth Curves'!S7</f>
        <v/>
      </c>
      <c r="T27" s="11">
        <f>'Growth Curves'!T7</f>
        <v/>
      </c>
      <c r="U27" s="11">
        <f>'Growth Curves'!U7</f>
        <v/>
      </c>
      <c r="V27" s="11">
        <f>'Growth Curves'!V7</f>
        <v/>
      </c>
      <c r="W27" s="11">
        <f>'Growth Curves'!W7</f>
        <v/>
      </c>
      <c r="X27" s="11">
        <f>'Growth Curves'!X7</f>
        <v/>
      </c>
      <c r="Y27" s="11">
        <f>'Growth Curves'!Y7</f>
        <v/>
      </c>
      <c r="Z27" s="11">
        <f>SUM(B27:Y27)</f>
        <v/>
      </c>
    </row>
    <row r="28">
      <c r="A28" s="10" t="inlineStr">
        <is>
          <t xml:space="preserve">    Avg attendees/event</t>
        </is>
      </c>
      <c r="B28" s="11">
        <f>'Growth Curves'!B8</f>
        <v/>
      </c>
      <c r="C28" s="11">
        <f>'Growth Curves'!C8</f>
        <v/>
      </c>
      <c r="D28" s="11">
        <f>'Growth Curves'!D8</f>
        <v/>
      </c>
      <c r="E28" s="11">
        <f>'Growth Curves'!E8</f>
        <v/>
      </c>
      <c r="F28" s="11">
        <f>'Growth Curves'!F8</f>
        <v/>
      </c>
      <c r="G28" s="11">
        <f>'Growth Curves'!G8</f>
        <v/>
      </c>
      <c r="H28" s="11">
        <f>'Growth Curves'!H8</f>
        <v/>
      </c>
      <c r="I28" s="11">
        <f>'Growth Curves'!I8</f>
        <v/>
      </c>
      <c r="J28" s="11">
        <f>'Growth Curves'!J8</f>
        <v/>
      </c>
      <c r="K28" s="11">
        <f>'Growth Curves'!K8</f>
        <v/>
      </c>
      <c r="L28" s="11">
        <f>'Growth Curves'!L8</f>
        <v/>
      </c>
      <c r="M28" s="11">
        <f>'Growth Curves'!M8</f>
        <v/>
      </c>
      <c r="N28" s="11">
        <f>'Growth Curves'!N8</f>
        <v/>
      </c>
      <c r="O28" s="11">
        <f>'Growth Curves'!O8</f>
        <v/>
      </c>
      <c r="P28" s="11">
        <f>'Growth Curves'!P8</f>
        <v/>
      </c>
      <c r="Q28" s="11">
        <f>'Growth Curves'!Q8</f>
        <v/>
      </c>
      <c r="R28" s="11">
        <f>'Growth Curves'!R8</f>
        <v/>
      </c>
      <c r="S28" s="11">
        <f>'Growth Curves'!S8</f>
        <v/>
      </c>
      <c r="T28" s="11">
        <f>'Growth Curves'!T8</f>
        <v/>
      </c>
      <c r="U28" s="11">
        <f>'Growth Curves'!U8</f>
        <v/>
      </c>
      <c r="V28" s="11">
        <f>'Growth Curves'!V8</f>
        <v/>
      </c>
      <c r="W28" s="11">
        <f>'Growth Curves'!W8</f>
        <v/>
      </c>
      <c r="X28" s="11">
        <f>'Growth Curves'!X8</f>
        <v/>
      </c>
      <c r="Y28" s="11">
        <f>'Growth Curves'!Y8</f>
        <v/>
      </c>
      <c r="Z28" s="11">
        <f>SUM(B28:Y28)</f>
        <v/>
      </c>
    </row>
    <row r="29">
      <c r="A29" s="10" t="inlineStr">
        <is>
          <t xml:space="preserve">    Total attendees</t>
        </is>
      </c>
      <c r="B29" s="11">
        <f>B27*B28</f>
        <v/>
      </c>
      <c r="C29" s="11">
        <f>C27*C28</f>
        <v/>
      </c>
      <c r="D29" s="11">
        <f>D27*D28</f>
        <v/>
      </c>
      <c r="E29" s="11">
        <f>E27*E28</f>
        <v/>
      </c>
      <c r="F29" s="11">
        <f>F27*F28</f>
        <v/>
      </c>
      <c r="G29" s="11">
        <f>G27*G28</f>
        <v/>
      </c>
      <c r="H29" s="11">
        <f>H27*H28</f>
        <v/>
      </c>
      <c r="I29" s="11">
        <f>I27*I28</f>
        <v/>
      </c>
      <c r="J29" s="11">
        <f>J27*J28</f>
        <v/>
      </c>
      <c r="K29" s="11">
        <f>K27*K28</f>
        <v/>
      </c>
      <c r="L29" s="11">
        <f>L27*L28</f>
        <v/>
      </c>
      <c r="M29" s="11">
        <f>M27*M28</f>
        <v/>
      </c>
      <c r="N29" s="11">
        <f>N27*N28</f>
        <v/>
      </c>
      <c r="O29" s="11">
        <f>O27*O28</f>
        <v/>
      </c>
      <c r="P29" s="11">
        <f>P27*P28</f>
        <v/>
      </c>
      <c r="Q29" s="11">
        <f>Q27*Q28</f>
        <v/>
      </c>
      <c r="R29" s="11">
        <f>R27*R28</f>
        <v/>
      </c>
      <c r="S29" s="11">
        <f>S27*S28</f>
        <v/>
      </c>
      <c r="T29" s="11">
        <f>T27*T28</f>
        <v/>
      </c>
      <c r="U29" s="11">
        <f>U27*U28</f>
        <v/>
      </c>
      <c r="V29" s="11">
        <f>V27*V28</f>
        <v/>
      </c>
      <c r="W29" s="11">
        <f>W27*W28</f>
        <v/>
      </c>
      <c r="X29" s="11">
        <f>X27*X28</f>
        <v/>
      </c>
      <c r="Y29" s="11">
        <f>Y27*Y28</f>
        <v/>
      </c>
      <c r="Z29" s="11">
        <f>SUM(B29:Y29)</f>
        <v/>
      </c>
    </row>
    <row r="30">
      <c r="A30" s="10" t="inlineStr">
        <is>
          <t xml:space="preserve">    Price/ticket</t>
        </is>
      </c>
      <c r="B30" s="12">
        <f>Assumptions!B28</f>
        <v/>
      </c>
      <c r="C30" s="12">
        <f>Assumptions!B28</f>
        <v/>
      </c>
      <c r="D30" s="12">
        <f>Assumptions!B28</f>
        <v/>
      </c>
      <c r="E30" s="12">
        <f>Assumptions!B28</f>
        <v/>
      </c>
      <c r="F30" s="12">
        <f>Assumptions!B28</f>
        <v/>
      </c>
      <c r="G30" s="12">
        <f>Assumptions!B28</f>
        <v/>
      </c>
      <c r="H30" s="12">
        <f>Assumptions!B28</f>
        <v/>
      </c>
      <c r="I30" s="12">
        <f>Assumptions!B28</f>
        <v/>
      </c>
      <c r="J30" s="12">
        <f>Assumptions!B28</f>
        <v/>
      </c>
      <c r="K30" s="12">
        <f>Assumptions!B28</f>
        <v/>
      </c>
      <c r="L30" s="12">
        <f>Assumptions!B28</f>
        <v/>
      </c>
      <c r="M30" s="12">
        <f>Assumptions!B28</f>
        <v/>
      </c>
      <c r="N30" s="12">
        <f>Assumptions!B28</f>
        <v/>
      </c>
      <c r="O30" s="12">
        <f>Assumptions!B28</f>
        <v/>
      </c>
      <c r="P30" s="12">
        <f>Assumptions!B28</f>
        <v/>
      </c>
      <c r="Q30" s="12">
        <f>Assumptions!B28</f>
        <v/>
      </c>
      <c r="R30" s="12">
        <f>Assumptions!B28</f>
        <v/>
      </c>
      <c r="S30" s="12">
        <f>Assumptions!B28</f>
        <v/>
      </c>
      <c r="T30" s="12">
        <f>Assumptions!B28</f>
        <v/>
      </c>
      <c r="U30" s="12">
        <f>Assumptions!B28</f>
        <v/>
      </c>
      <c r="V30" s="12">
        <f>Assumptions!B28</f>
        <v/>
      </c>
      <c r="W30" s="12">
        <f>Assumptions!B28</f>
        <v/>
      </c>
      <c r="X30" s="12">
        <f>Assumptions!B28</f>
        <v/>
      </c>
      <c r="Y30" s="12">
        <f>Assumptions!B28</f>
        <v/>
      </c>
      <c r="Z30" s="12">
        <f>SUM(B30:Y30)</f>
        <v/>
      </c>
    </row>
    <row r="31">
      <c r="A31" s="13" t="inlineStr">
        <is>
          <t xml:space="preserve">    Revenue</t>
        </is>
      </c>
      <c r="B31" s="14">
        <f>B29*Assumptions!B28</f>
        <v/>
      </c>
      <c r="C31" s="14">
        <f>C29*Assumptions!B28</f>
        <v/>
      </c>
      <c r="D31" s="14">
        <f>D29*Assumptions!B28</f>
        <v/>
      </c>
      <c r="E31" s="14">
        <f>E29*Assumptions!B28</f>
        <v/>
      </c>
      <c r="F31" s="14">
        <f>F29*Assumptions!B28</f>
        <v/>
      </c>
      <c r="G31" s="14">
        <f>G29*Assumptions!B28</f>
        <v/>
      </c>
      <c r="H31" s="14">
        <f>H29*Assumptions!B28</f>
        <v/>
      </c>
      <c r="I31" s="14">
        <f>I29*Assumptions!B28</f>
        <v/>
      </c>
      <c r="J31" s="14">
        <f>J29*Assumptions!B28</f>
        <v/>
      </c>
      <c r="K31" s="14">
        <f>K29*Assumptions!B28</f>
        <v/>
      </c>
      <c r="L31" s="14">
        <f>L29*Assumptions!B28</f>
        <v/>
      </c>
      <c r="M31" s="14">
        <f>M29*Assumptions!B28</f>
        <v/>
      </c>
      <c r="N31" s="14">
        <f>N29*Assumptions!B28</f>
        <v/>
      </c>
      <c r="O31" s="14">
        <f>O29*Assumptions!B28</f>
        <v/>
      </c>
      <c r="P31" s="14">
        <f>P29*Assumptions!B28</f>
        <v/>
      </c>
      <c r="Q31" s="14">
        <f>Q29*Assumptions!B28</f>
        <v/>
      </c>
      <c r="R31" s="14">
        <f>R29*Assumptions!B28</f>
        <v/>
      </c>
      <c r="S31" s="14">
        <f>S29*Assumptions!B28</f>
        <v/>
      </c>
      <c r="T31" s="14">
        <f>T29*Assumptions!B28</f>
        <v/>
      </c>
      <c r="U31" s="14">
        <f>U29*Assumptions!B28</f>
        <v/>
      </c>
      <c r="V31" s="14">
        <f>V29*Assumptions!B28</f>
        <v/>
      </c>
      <c r="W31" s="14">
        <f>W29*Assumptions!B28</f>
        <v/>
      </c>
      <c r="X31" s="14">
        <f>X29*Assumptions!B28</f>
        <v/>
      </c>
      <c r="Y31" s="14">
        <f>Y29*Assumptions!B28</f>
        <v/>
      </c>
      <c r="Z31" s="14">
        <f>SUM(B31:Y31)</f>
        <v/>
      </c>
    </row>
    <row r="32">
      <c r="A32" s="9" t="inlineStr">
        <is>
          <t xml:space="preserve">  Doctor SaaS (D1: EUR 99/mo)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10" t="inlineStr">
        <is>
          <t xml:space="preserve">    Clinics listed</t>
        </is>
      </c>
      <c r="B33" s="11">
        <f>'Growth Curves'!B9</f>
        <v/>
      </c>
      <c r="C33" s="11">
        <f>'Growth Curves'!C9</f>
        <v/>
      </c>
      <c r="D33" s="11">
        <f>'Growth Curves'!D9</f>
        <v/>
      </c>
      <c r="E33" s="11">
        <f>'Growth Curves'!E9</f>
        <v/>
      </c>
      <c r="F33" s="11">
        <f>'Growth Curves'!F9</f>
        <v/>
      </c>
      <c r="G33" s="11">
        <f>'Growth Curves'!G9</f>
        <v/>
      </c>
      <c r="H33" s="11">
        <f>'Growth Curves'!H9</f>
        <v/>
      </c>
      <c r="I33" s="11">
        <f>'Growth Curves'!I9</f>
        <v/>
      </c>
      <c r="J33" s="11">
        <f>'Growth Curves'!J9</f>
        <v/>
      </c>
      <c r="K33" s="11">
        <f>'Growth Curves'!K9</f>
        <v/>
      </c>
      <c r="L33" s="11">
        <f>'Growth Curves'!L9</f>
        <v/>
      </c>
      <c r="M33" s="11">
        <f>'Growth Curves'!M9</f>
        <v/>
      </c>
      <c r="N33" s="11">
        <f>'Growth Curves'!N9</f>
        <v/>
      </c>
      <c r="O33" s="11">
        <f>'Growth Curves'!O9</f>
        <v/>
      </c>
      <c r="P33" s="11">
        <f>'Growth Curves'!P9</f>
        <v/>
      </c>
      <c r="Q33" s="11">
        <f>'Growth Curves'!Q9</f>
        <v/>
      </c>
      <c r="R33" s="11">
        <f>'Growth Curves'!R9</f>
        <v/>
      </c>
      <c r="S33" s="11">
        <f>'Growth Curves'!S9</f>
        <v/>
      </c>
      <c r="T33" s="11">
        <f>'Growth Curves'!T9</f>
        <v/>
      </c>
      <c r="U33" s="11">
        <f>'Growth Curves'!U9</f>
        <v/>
      </c>
      <c r="V33" s="11">
        <f>'Growth Curves'!V9</f>
        <v/>
      </c>
      <c r="W33" s="11">
        <f>'Growth Curves'!W9</f>
        <v/>
      </c>
      <c r="X33" s="11">
        <f>'Growth Curves'!X9</f>
        <v/>
      </c>
      <c r="Y33" s="11">
        <f>'Growth Curves'!Y9</f>
        <v/>
      </c>
      <c r="Z33" s="11">
        <f>SUM(B33:Y33)</f>
        <v/>
      </c>
    </row>
    <row r="34">
      <c r="A34" s="10" t="inlineStr">
        <is>
          <t xml:space="preserve">    Fee/month</t>
        </is>
      </c>
      <c r="B34" s="12">
        <f>Assumptions!B31</f>
        <v/>
      </c>
      <c r="C34" s="12">
        <f>Assumptions!B31</f>
        <v/>
      </c>
      <c r="D34" s="12">
        <f>Assumptions!B31</f>
        <v/>
      </c>
      <c r="E34" s="12">
        <f>Assumptions!B31</f>
        <v/>
      </c>
      <c r="F34" s="12">
        <f>Assumptions!B31</f>
        <v/>
      </c>
      <c r="G34" s="12">
        <f>Assumptions!B31</f>
        <v/>
      </c>
      <c r="H34" s="12">
        <f>Assumptions!B31</f>
        <v/>
      </c>
      <c r="I34" s="12">
        <f>Assumptions!B31</f>
        <v/>
      </c>
      <c r="J34" s="12">
        <f>Assumptions!B31</f>
        <v/>
      </c>
      <c r="K34" s="12">
        <f>Assumptions!B31</f>
        <v/>
      </c>
      <c r="L34" s="12">
        <f>Assumptions!B31</f>
        <v/>
      </c>
      <c r="M34" s="12">
        <f>Assumptions!B31</f>
        <v/>
      </c>
      <c r="N34" s="12">
        <f>Assumptions!B31</f>
        <v/>
      </c>
      <c r="O34" s="12">
        <f>Assumptions!B31</f>
        <v/>
      </c>
      <c r="P34" s="12">
        <f>Assumptions!B31</f>
        <v/>
      </c>
      <c r="Q34" s="12">
        <f>Assumptions!B31</f>
        <v/>
      </c>
      <c r="R34" s="12">
        <f>Assumptions!B31</f>
        <v/>
      </c>
      <c r="S34" s="12">
        <f>Assumptions!B31</f>
        <v/>
      </c>
      <c r="T34" s="12">
        <f>Assumptions!B31</f>
        <v/>
      </c>
      <c r="U34" s="12">
        <f>Assumptions!B31</f>
        <v/>
      </c>
      <c r="V34" s="12">
        <f>Assumptions!B31</f>
        <v/>
      </c>
      <c r="W34" s="12">
        <f>Assumptions!B31</f>
        <v/>
      </c>
      <c r="X34" s="12">
        <f>Assumptions!B31</f>
        <v/>
      </c>
      <c r="Y34" s="12">
        <f>Assumptions!B31</f>
        <v/>
      </c>
      <c r="Z34" s="12">
        <f>SUM(B34:Y34)</f>
        <v/>
      </c>
    </row>
    <row r="35">
      <c r="A35" s="13" t="inlineStr">
        <is>
          <t xml:space="preserve">    Revenue</t>
        </is>
      </c>
      <c r="B35" s="14">
        <f>B33*Assumptions!B31</f>
        <v/>
      </c>
      <c r="C35" s="14">
        <f>C33*Assumptions!B31</f>
        <v/>
      </c>
      <c r="D35" s="14">
        <f>D33*Assumptions!B31</f>
        <v/>
      </c>
      <c r="E35" s="14">
        <f>E33*Assumptions!B31</f>
        <v/>
      </c>
      <c r="F35" s="14">
        <f>F33*Assumptions!B31</f>
        <v/>
      </c>
      <c r="G35" s="14">
        <f>G33*Assumptions!B31</f>
        <v/>
      </c>
      <c r="H35" s="14">
        <f>H33*Assumptions!B31</f>
        <v/>
      </c>
      <c r="I35" s="14">
        <f>I33*Assumptions!B31</f>
        <v/>
      </c>
      <c r="J35" s="14">
        <f>J33*Assumptions!B31</f>
        <v/>
      </c>
      <c r="K35" s="14">
        <f>K33*Assumptions!B31</f>
        <v/>
      </c>
      <c r="L35" s="14">
        <f>L33*Assumptions!B31</f>
        <v/>
      </c>
      <c r="M35" s="14">
        <f>M33*Assumptions!B31</f>
        <v/>
      </c>
      <c r="N35" s="14">
        <f>N33*Assumptions!B31</f>
        <v/>
      </c>
      <c r="O35" s="14">
        <f>O33*Assumptions!B31</f>
        <v/>
      </c>
      <c r="P35" s="14">
        <f>P33*Assumptions!B31</f>
        <v/>
      </c>
      <c r="Q35" s="14">
        <f>Q33*Assumptions!B31</f>
        <v/>
      </c>
      <c r="R35" s="14">
        <f>R33*Assumptions!B31</f>
        <v/>
      </c>
      <c r="S35" s="14">
        <f>S33*Assumptions!B31</f>
        <v/>
      </c>
      <c r="T35" s="14">
        <f>T33*Assumptions!B31</f>
        <v/>
      </c>
      <c r="U35" s="14">
        <f>U33*Assumptions!B31</f>
        <v/>
      </c>
      <c r="V35" s="14">
        <f>V33*Assumptions!B31</f>
        <v/>
      </c>
      <c r="W35" s="14">
        <f>W33*Assumptions!B31</f>
        <v/>
      </c>
      <c r="X35" s="14">
        <f>X33*Assumptions!B31</f>
        <v/>
      </c>
      <c r="Y35" s="14">
        <f>Y33*Assumptions!B31</f>
        <v/>
      </c>
      <c r="Z35" s="14">
        <f>SUM(B35:Y35)</f>
        <v/>
      </c>
    </row>
    <row r="36">
      <c r="A36" s="13" t="inlineStr">
        <is>
          <t xml:space="preserve">  CGM Referral Commission (D3: EUR 15/user/mo — Premium 3-mo gate or add-on)</t>
        </is>
      </c>
      <c r="B36" s="14">
        <f>ROUND('Growth Curves'!B21*Assumptions!B140,0)</f>
        <v/>
      </c>
      <c r="C36" s="14">
        <f>ROUND('Growth Curves'!C21*Assumptions!B140,0)</f>
        <v/>
      </c>
      <c r="D36" s="14">
        <f>ROUND('Growth Curves'!D21*Assumptions!B140,0)</f>
        <v/>
      </c>
      <c r="E36" s="14">
        <f>ROUND('Growth Curves'!E21*Assumptions!B140,0)</f>
        <v/>
      </c>
      <c r="F36" s="14">
        <f>ROUND('Growth Curves'!F21*Assumptions!B140,0)</f>
        <v/>
      </c>
      <c r="G36" s="14">
        <f>ROUND('Growth Curves'!G21*Assumptions!B140,0)</f>
        <v/>
      </c>
      <c r="H36" s="14">
        <f>ROUND('Growth Curves'!H21*Assumptions!B140,0)</f>
        <v/>
      </c>
      <c r="I36" s="14">
        <f>ROUND('Growth Curves'!I21*Assumptions!B140,0)</f>
        <v/>
      </c>
      <c r="J36" s="14">
        <f>ROUND('Growth Curves'!J21*Assumptions!B140,0)</f>
        <v/>
      </c>
      <c r="K36" s="14">
        <f>ROUND('Growth Curves'!K21*Assumptions!B140,0)</f>
        <v/>
      </c>
      <c r="L36" s="14">
        <f>ROUND('Growth Curves'!L21*Assumptions!B140,0)</f>
        <v/>
      </c>
      <c r="M36" s="14">
        <f>ROUND('Growth Curves'!M21*Assumptions!B140,0)</f>
        <v/>
      </c>
      <c r="N36" s="14">
        <f>ROUND('Growth Curves'!N21*Assumptions!B140,0)</f>
        <v/>
      </c>
      <c r="O36" s="14">
        <f>ROUND('Growth Curves'!O21*Assumptions!B140,0)</f>
        <v/>
      </c>
      <c r="P36" s="14">
        <f>ROUND('Growth Curves'!P21*Assumptions!B140,0)</f>
        <v/>
      </c>
      <c r="Q36" s="14">
        <f>ROUND('Growth Curves'!Q21*Assumptions!B140,0)</f>
        <v/>
      </c>
      <c r="R36" s="14">
        <f>ROUND('Growth Curves'!R21*Assumptions!B140,0)</f>
        <v/>
      </c>
      <c r="S36" s="14">
        <f>ROUND('Growth Curves'!S21*Assumptions!B140,0)</f>
        <v/>
      </c>
      <c r="T36" s="14">
        <f>ROUND('Growth Curves'!T21*Assumptions!B140,0)</f>
        <v/>
      </c>
      <c r="U36" s="14">
        <f>ROUND('Growth Curves'!U21*Assumptions!B140,0)</f>
        <v/>
      </c>
      <c r="V36" s="14">
        <f>ROUND('Growth Curves'!V21*Assumptions!B140,0)</f>
        <v/>
      </c>
      <c r="W36" s="14">
        <f>ROUND('Growth Curves'!W21*Assumptions!B140,0)</f>
        <v/>
      </c>
      <c r="X36" s="14">
        <f>ROUND('Growth Curves'!X21*Assumptions!B140,0)</f>
        <v/>
      </c>
      <c r="Y36" s="14">
        <f>ROUND('Growth Curves'!Y21*Assumptions!B140,0)</f>
        <v/>
      </c>
      <c r="Z36" s="14">
        <f>SUM(B36:Y36)</f>
        <v/>
      </c>
    </row>
    <row r="37">
      <c r="A37" s="15" t="inlineStr">
        <is>
          <t xml:space="preserve">  Restaurant (D2: Phase 2 — EUR 0)</t>
        </is>
      </c>
      <c r="B37" s="16" t="n">
        <v>0</v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>
        <f>SUM(B37:Y37)</f>
        <v/>
      </c>
    </row>
    <row r="38">
      <c r="A38" s="9" t="inlineStr">
        <is>
          <t xml:space="preserve">  Subscriptions (EX-01: blended monthly + annual recognition)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17" t="inlineStr">
        <is>
          <t xml:space="preserve">    Core (blended: monthly EUR 19 / annual EUR 190/yr)</t>
        </is>
      </c>
      <c r="B39" s="18">
        <f>ROUND('Growth Curves'!B18*((1-IF(1&lt;=6,Assumptions!B131,IF(1&lt;=11,Assumptions!B141,Assumptions!B132)))*Assumptions!B5+IF(1&lt;=6,Assumptions!B131,IF(1&lt;=11,Assumptions!B141,Assumptions!B132))*Assumptions!B128/12),0)</f>
        <v/>
      </c>
      <c r="C39" s="18">
        <f>ROUND('Growth Curves'!C18*((1-IF(2&lt;=6,Assumptions!B131,IF(2&lt;=11,Assumptions!B141,Assumptions!B132)))*Assumptions!B5+IF(2&lt;=6,Assumptions!B131,IF(2&lt;=11,Assumptions!B141,Assumptions!B132))*Assumptions!B128/12),0)</f>
        <v/>
      </c>
      <c r="D39" s="18">
        <f>ROUND('Growth Curves'!D18*((1-IF(3&lt;=6,Assumptions!B131,IF(3&lt;=11,Assumptions!B141,Assumptions!B132)))*Assumptions!B5+IF(3&lt;=6,Assumptions!B131,IF(3&lt;=11,Assumptions!B141,Assumptions!B132))*Assumptions!B128/12),0)</f>
        <v/>
      </c>
      <c r="E39" s="18">
        <f>ROUND('Growth Curves'!E18*((1-IF(4&lt;=6,Assumptions!B131,IF(4&lt;=11,Assumptions!B141,Assumptions!B132)))*Assumptions!B5+IF(4&lt;=6,Assumptions!B131,IF(4&lt;=11,Assumptions!B141,Assumptions!B132))*Assumptions!B128/12),0)</f>
        <v/>
      </c>
      <c r="F39" s="18">
        <f>ROUND('Growth Curves'!F18*((1-IF(5&lt;=6,Assumptions!B131,IF(5&lt;=11,Assumptions!B141,Assumptions!B132)))*Assumptions!B5+IF(5&lt;=6,Assumptions!B131,IF(5&lt;=11,Assumptions!B141,Assumptions!B132))*Assumptions!B128/12),0)</f>
        <v/>
      </c>
      <c r="G39" s="18">
        <f>ROUND('Growth Curves'!G18*((1-IF(6&lt;=6,Assumptions!B131,IF(6&lt;=11,Assumptions!B141,Assumptions!B132)))*Assumptions!B5+IF(6&lt;=6,Assumptions!B131,IF(6&lt;=11,Assumptions!B141,Assumptions!B132))*Assumptions!B128/12),0)</f>
        <v/>
      </c>
      <c r="H39" s="18">
        <f>ROUND('Growth Curves'!H18*((1-IF(7&lt;=6,Assumptions!B131,IF(7&lt;=11,Assumptions!B141,Assumptions!B132)))*Assumptions!B5+IF(7&lt;=6,Assumptions!B131,IF(7&lt;=11,Assumptions!B141,Assumptions!B132))*Assumptions!B128/12),0)</f>
        <v/>
      </c>
      <c r="I39" s="18">
        <f>ROUND('Growth Curves'!I18*((1-IF(8&lt;=6,Assumptions!B131,IF(8&lt;=11,Assumptions!B141,Assumptions!B132)))*Assumptions!B5+IF(8&lt;=6,Assumptions!B131,IF(8&lt;=11,Assumptions!B141,Assumptions!B132))*Assumptions!B128/12),0)</f>
        <v/>
      </c>
      <c r="J39" s="18">
        <f>ROUND('Growth Curves'!J18*((1-IF(9&lt;=6,Assumptions!B131,IF(9&lt;=11,Assumptions!B141,Assumptions!B132)))*Assumptions!B5+IF(9&lt;=6,Assumptions!B131,IF(9&lt;=11,Assumptions!B141,Assumptions!B132))*Assumptions!B128/12),0)</f>
        <v/>
      </c>
      <c r="K39" s="18">
        <f>ROUND('Growth Curves'!K18*((1-IF(10&lt;=6,Assumptions!B131,IF(10&lt;=11,Assumptions!B141,Assumptions!B132)))*Assumptions!B5+IF(10&lt;=6,Assumptions!B131,IF(10&lt;=11,Assumptions!B141,Assumptions!B132))*Assumptions!B128/12),0)</f>
        <v/>
      </c>
      <c r="L39" s="18">
        <f>ROUND('Growth Curves'!L18*((1-IF(11&lt;=6,Assumptions!B131,IF(11&lt;=11,Assumptions!B141,Assumptions!B132)))*Assumptions!B5+IF(11&lt;=6,Assumptions!B131,IF(11&lt;=11,Assumptions!B141,Assumptions!B132))*Assumptions!B128/12),0)</f>
        <v/>
      </c>
      <c r="M39" s="18">
        <f>ROUND('Growth Curves'!M18*((1-IF(12&lt;=6,Assumptions!B131,IF(12&lt;=11,Assumptions!B141,Assumptions!B132)))*Assumptions!B5+IF(12&lt;=6,Assumptions!B131,IF(12&lt;=11,Assumptions!B141,Assumptions!B132))*Assumptions!B128/12),0)</f>
        <v/>
      </c>
      <c r="N39" s="18">
        <f>ROUND('Growth Curves'!N18*((1-IF(13&lt;=6,Assumptions!B131,IF(13&lt;=11,Assumptions!B141,Assumptions!B132)))*Assumptions!B5+IF(13&lt;=6,Assumptions!B131,IF(13&lt;=11,Assumptions!B141,Assumptions!B132))*Assumptions!B128/12),0)</f>
        <v/>
      </c>
      <c r="O39" s="18">
        <f>ROUND('Growth Curves'!O18*((1-IF(14&lt;=6,Assumptions!B131,IF(14&lt;=11,Assumptions!B141,Assumptions!B132)))*Assumptions!B5+IF(14&lt;=6,Assumptions!B131,IF(14&lt;=11,Assumptions!B141,Assumptions!B132))*Assumptions!B128/12),0)</f>
        <v/>
      </c>
      <c r="P39" s="18">
        <f>ROUND('Growth Curves'!P18*((1-IF(15&lt;=6,Assumptions!B131,IF(15&lt;=11,Assumptions!B141,Assumptions!B132)))*Assumptions!B5+IF(15&lt;=6,Assumptions!B131,IF(15&lt;=11,Assumptions!B141,Assumptions!B132))*Assumptions!B128/12),0)</f>
        <v/>
      </c>
      <c r="Q39" s="18">
        <f>ROUND('Growth Curves'!Q18*((1-IF(16&lt;=6,Assumptions!B131,IF(16&lt;=11,Assumptions!B141,Assumptions!B132)))*Assumptions!B5+IF(16&lt;=6,Assumptions!B131,IF(16&lt;=11,Assumptions!B141,Assumptions!B132))*Assumptions!B128/12),0)</f>
        <v/>
      </c>
      <c r="R39" s="18">
        <f>ROUND('Growth Curves'!R18*((1-IF(17&lt;=6,Assumptions!B131,IF(17&lt;=11,Assumptions!B141,Assumptions!B132)))*Assumptions!B5+IF(17&lt;=6,Assumptions!B131,IF(17&lt;=11,Assumptions!B141,Assumptions!B132))*Assumptions!B128/12),0)</f>
        <v/>
      </c>
      <c r="S39" s="18">
        <f>ROUND('Growth Curves'!S18*((1-IF(18&lt;=6,Assumptions!B131,IF(18&lt;=11,Assumptions!B141,Assumptions!B132)))*Assumptions!B5+IF(18&lt;=6,Assumptions!B131,IF(18&lt;=11,Assumptions!B141,Assumptions!B132))*Assumptions!B128/12),0)</f>
        <v/>
      </c>
      <c r="T39" s="18">
        <f>ROUND('Growth Curves'!T18*((1-IF(19&lt;=6,Assumptions!B131,IF(19&lt;=11,Assumptions!B141,Assumptions!B132)))*Assumptions!B5+IF(19&lt;=6,Assumptions!B131,IF(19&lt;=11,Assumptions!B141,Assumptions!B132))*Assumptions!B128/12),0)</f>
        <v/>
      </c>
      <c r="U39" s="18">
        <f>ROUND('Growth Curves'!U18*((1-IF(20&lt;=6,Assumptions!B131,IF(20&lt;=11,Assumptions!B141,Assumptions!B132)))*Assumptions!B5+IF(20&lt;=6,Assumptions!B131,IF(20&lt;=11,Assumptions!B141,Assumptions!B132))*Assumptions!B128/12),0)</f>
        <v/>
      </c>
      <c r="V39" s="18">
        <f>ROUND('Growth Curves'!V18*((1-IF(21&lt;=6,Assumptions!B131,IF(21&lt;=11,Assumptions!B141,Assumptions!B132)))*Assumptions!B5+IF(21&lt;=6,Assumptions!B131,IF(21&lt;=11,Assumptions!B141,Assumptions!B132))*Assumptions!B128/12),0)</f>
        <v/>
      </c>
      <c r="W39" s="18">
        <f>ROUND('Growth Curves'!W18*((1-IF(22&lt;=6,Assumptions!B131,IF(22&lt;=11,Assumptions!B141,Assumptions!B132)))*Assumptions!B5+IF(22&lt;=6,Assumptions!B131,IF(22&lt;=11,Assumptions!B141,Assumptions!B132))*Assumptions!B128/12),0)</f>
        <v/>
      </c>
      <c r="X39" s="18">
        <f>ROUND('Growth Curves'!X18*((1-IF(23&lt;=6,Assumptions!B131,IF(23&lt;=11,Assumptions!B141,Assumptions!B132)))*Assumptions!B5+IF(23&lt;=6,Assumptions!B131,IF(23&lt;=11,Assumptions!B141,Assumptions!B132))*Assumptions!B128/12),0)</f>
        <v/>
      </c>
      <c r="Y39" s="18">
        <f>ROUND('Growth Curves'!Y18*((1-IF(24&lt;=6,Assumptions!B131,IF(24&lt;=11,Assumptions!B141,Assumptions!B132)))*Assumptions!B5+IF(24&lt;=6,Assumptions!B131,IF(24&lt;=11,Assumptions!B141,Assumptions!B132))*Assumptions!B128/12),0)</f>
        <v/>
      </c>
      <c r="Z39" s="18">
        <f>SUM(B39:Y39)</f>
        <v/>
      </c>
    </row>
    <row r="40">
      <c r="A40" s="17" t="inlineStr">
        <is>
          <t xml:space="preserve">    Pro (blended: monthly EUR 49 / annual EUR 490/yr)</t>
        </is>
      </c>
      <c r="B40" s="18">
        <f>ROUND('Growth Curves'!B19*((1-IF(1&lt;=6,Assumptions!B131,IF(1&lt;=11,Assumptions!B141,Assumptions!B132)))*Assumptions!B6+IF(1&lt;=6,Assumptions!B131,IF(1&lt;=11,Assumptions!B141,Assumptions!B132))*Assumptions!B129/12),0)</f>
        <v/>
      </c>
      <c r="C40" s="18">
        <f>ROUND('Growth Curves'!C19*((1-IF(2&lt;=6,Assumptions!B131,IF(2&lt;=11,Assumptions!B141,Assumptions!B132)))*Assumptions!B6+IF(2&lt;=6,Assumptions!B131,IF(2&lt;=11,Assumptions!B141,Assumptions!B132))*Assumptions!B129/12),0)</f>
        <v/>
      </c>
      <c r="D40" s="18">
        <f>ROUND('Growth Curves'!D19*((1-IF(3&lt;=6,Assumptions!B131,IF(3&lt;=11,Assumptions!B141,Assumptions!B132)))*Assumptions!B6+IF(3&lt;=6,Assumptions!B131,IF(3&lt;=11,Assumptions!B141,Assumptions!B132))*Assumptions!B129/12),0)</f>
        <v/>
      </c>
      <c r="E40" s="18">
        <f>ROUND('Growth Curves'!E19*((1-IF(4&lt;=6,Assumptions!B131,IF(4&lt;=11,Assumptions!B141,Assumptions!B132)))*Assumptions!B6+IF(4&lt;=6,Assumptions!B131,IF(4&lt;=11,Assumptions!B141,Assumptions!B132))*Assumptions!B129/12),0)</f>
        <v/>
      </c>
      <c r="F40" s="18">
        <f>ROUND('Growth Curves'!F19*((1-IF(5&lt;=6,Assumptions!B131,IF(5&lt;=11,Assumptions!B141,Assumptions!B132)))*Assumptions!B6+IF(5&lt;=6,Assumptions!B131,IF(5&lt;=11,Assumptions!B141,Assumptions!B132))*Assumptions!B129/12),0)</f>
        <v/>
      </c>
      <c r="G40" s="18">
        <f>ROUND('Growth Curves'!G19*((1-IF(6&lt;=6,Assumptions!B131,IF(6&lt;=11,Assumptions!B141,Assumptions!B132)))*Assumptions!B6+IF(6&lt;=6,Assumptions!B131,IF(6&lt;=11,Assumptions!B141,Assumptions!B132))*Assumptions!B129/12),0)</f>
        <v/>
      </c>
      <c r="H40" s="18">
        <f>ROUND('Growth Curves'!H19*((1-IF(7&lt;=6,Assumptions!B131,IF(7&lt;=11,Assumptions!B141,Assumptions!B132)))*Assumptions!B6+IF(7&lt;=6,Assumptions!B131,IF(7&lt;=11,Assumptions!B141,Assumptions!B132))*Assumptions!B129/12),0)</f>
        <v/>
      </c>
      <c r="I40" s="18">
        <f>ROUND('Growth Curves'!I19*((1-IF(8&lt;=6,Assumptions!B131,IF(8&lt;=11,Assumptions!B141,Assumptions!B132)))*Assumptions!B6+IF(8&lt;=6,Assumptions!B131,IF(8&lt;=11,Assumptions!B141,Assumptions!B132))*Assumptions!B129/12),0)</f>
        <v/>
      </c>
      <c r="J40" s="18">
        <f>ROUND('Growth Curves'!J19*((1-IF(9&lt;=6,Assumptions!B131,IF(9&lt;=11,Assumptions!B141,Assumptions!B132)))*Assumptions!B6+IF(9&lt;=6,Assumptions!B131,IF(9&lt;=11,Assumptions!B141,Assumptions!B132))*Assumptions!B129/12),0)</f>
        <v/>
      </c>
      <c r="K40" s="18">
        <f>ROUND('Growth Curves'!K19*((1-IF(10&lt;=6,Assumptions!B131,IF(10&lt;=11,Assumptions!B141,Assumptions!B132)))*Assumptions!B6+IF(10&lt;=6,Assumptions!B131,IF(10&lt;=11,Assumptions!B141,Assumptions!B132))*Assumptions!B129/12),0)</f>
        <v/>
      </c>
      <c r="L40" s="18">
        <f>ROUND('Growth Curves'!L19*((1-IF(11&lt;=6,Assumptions!B131,IF(11&lt;=11,Assumptions!B141,Assumptions!B132)))*Assumptions!B6+IF(11&lt;=6,Assumptions!B131,IF(11&lt;=11,Assumptions!B141,Assumptions!B132))*Assumptions!B129/12),0)</f>
        <v/>
      </c>
      <c r="M40" s="18">
        <f>ROUND('Growth Curves'!M19*((1-IF(12&lt;=6,Assumptions!B131,IF(12&lt;=11,Assumptions!B141,Assumptions!B132)))*Assumptions!B6+IF(12&lt;=6,Assumptions!B131,IF(12&lt;=11,Assumptions!B141,Assumptions!B132))*Assumptions!B129/12),0)</f>
        <v/>
      </c>
      <c r="N40" s="18">
        <f>ROUND('Growth Curves'!N19*((1-IF(13&lt;=6,Assumptions!B131,IF(13&lt;=11,Assumptions!B141,Assumptions!B132)))*Assumptions!B6+IF(13&lt;=6,Assumptions!B131,IF(13&lt;=11,Assumptions!B141,Assumptions!B132))*Assumptions!B129/12),0)</f>
        <v/>
      </c>
      <c r="O40" s="18">
        <f>ROUND('Growth Curves'!O19*((1-IF(14&lt;=6,Assumptions!B131,IF(14&lt;=11,Assumptions!B141,Assumptions!B132)))*Assumptions!B6+IF(14&lt;=6,Assumptions!B131,IF(14&lt;=11,Assumptions!B141,Assumptions!B132))*Assumptions!B129/12),0)</f>
        <v/>
      </c>
      <c r="P40" s="18">
        <f>ROUND('Growth Curves'!P19*((1-IF(15&lt;=6,Assumptions!B131,IF(15&lt;=11,Assumptions!B141,Assumptions!B132)))*Assumptions!B6+IF(15&lt;=6,Assumptions!B131,IF(15&lt;=11,Assumptions!B141,Assumptions!B132))*Assumptions!B129/12),0)</f>
        <v/>
      </c>
      <c r="Q40" s="18">
        <f>ROUND('Growth Curves'!Q19*((1-IF(16&lt;=6,Assumptions!B131,IF(16&lt;=11,Assumptions!B141,Assumptions!B132)))*Assumptions!B6+IF(16&lt;=6,Assumptions!B131,IF(16&lt;=11,Assumptions!B141,Assumptions!B132))*Assumptions!B129/12),0)</f>
        <v/>
      </c>
      <c r="R40" s="18">
        <f>ROUND('Growth Curves'!R19*((1-IF(17&lt;=6,Assumptions!B131,IF(17&lt;=11,Assumptions!B141,Assumptions!B132)))*Assumptions!B6+IF(17&lt;=6,Assumptions!B131,IF(17&lt;=11,Assumptions!B141,Assumptions!B132))*Assumptions!B129/12),0)</f>
        <v/>
      </c>
      <c r="S40" s="18">
        <f>ROUND('Growth Curves'!S19*((1-IF(18&lt;=6,Assumptions!B131,IF(18&lt;=11,Assumptions!B141,Assumptions!B132)))*Assumptions!B6+IF(18&lt;=6,Assumptions!B131,IF(18&lt;=11,Assumptions!B141,Assumptions!B132))*Assumptions!B129/12),0)</f>
        <v/>
      </c>
      <c r="T40" s="18">
        <f>ROUND('Growth Curves'!T19*((1-IF(19&lt;=6,Assumptions!B131,IF(19&lt;=11,Assumptions!B141,Assumptions!B132)))*Assumptions!B6+IF(19&lt;=6,Assumptions!B131,IF(19&lt;=11,Assumptions!B141,Assumptions!B132))*Assumptions!B129/12),0)</f>
        <v/>
      </c>
      <c r="U40" s="18">
        <f>ROUND('Growth Curves'!U19*((1-IF(20&lt;=6,Assumptions!B131,IF(20&lt;=11,Assumptions!B141,Assumptions!B132)))*Assumptions!B6+IF(20&lt;=6,Assumptions!B131,IF(20&lt;=11,Assumptions!B141,Assumptions!B132))*Assumptions!B129/12),0)</f>
        <v/>
      </c>
      <c r="V40" s="18">
        <f>ROUND('Growth Curves'!V19*((1-IF(21&lt;=6,Assumptions!B131,IF(21&lt;=11,Assumptions!B141,Assumptions!B132)))*Assumptions!B6+IF(21&lt;=6,Assumptions!B131,IF(21&lt;=11,Assumptions!B141,Assumptions!B132))*Assumptions!B129/12),0)</f>
        <v/>
      </c>
      <c r="W40" s="18">
        <f>ROUND('Growth Curves'!W19*((1-IF(22&lt;=6,Assumptions!B131,IF(22&lt;=11,Assumptions!B141,Assumptions!B132)))*Assumptions!B6+IF(22&lt;=6,Assumptions!B131,IF(22&lt;=11,Assumptions!B141,Assumptions!B132))*Assumptions!B129/12),0)</f>
        <v/>
      </c>
      <c r="X40" s="18">
        <f>ROUND('Growth Curves'!X19*((1-IF(23&lt;=6,Assumptions!B131,IF(23&lt;=11,Assumptions!B141,Assumptions!B132)))*Assumptions!B6+IF(23&lt;=6,Assumptions!B131,IF(23&lt;=11,Assumptions!B141,Assumptions!B132))*Assumptions!B129/12),0)</f>
        <v/>
      </c>
      <c r="Y40" s="18">
        <f>ROUND('Growth Curves'!Y19*((1-IF(24&lt;=6,Assumptions!B131,IF(24&lt;=11,Assumptions!B141,Assumptions!B132)))*Assumptions!B6+IF(24&lt;=6,Assumptions!B131,IF(24&lt;=11,Assumptions!B141,Assumptions!B132))*Assumptions!B129/12),0)</f>
        <v/>
      </c>
      <c r="Z40" s="18">
        <f>SUM(B40:Y40)</f>
        <v/>
      </c>
    </row>
    <row r="41">
      <c r="A41" s="17" t="inlineStr">
        <is>
          <t xml:space="preserve">    Premium (blended: monthly EUR 99 / annual EUR 990/yr)</t>
        </is>
      </c>
      <c r="B41" s="18">
        <f>ROUND('Growth Curves'!B20*((1-IF(1&lt;=6,Assumptions!B131,IF(1&lt;=11,Assumptions!B141,Assumptions!B132)))*Assumptions!B7+IF(1&lt;=6,Assumptions!B131,IF(1&lt;=11,Assumptions!B141,Assumptions!B132))*Assumptions!B130/12),0)</f>
        <v/>
      </c>
      <c r="C41" s="18">
        <f>ROUND('Growth Curves'!C20*((1-IF(2&lt;=6,Assumptions!B131,IF(2&lt;=11,Assumptions!B141,Assumptions!B132)))*Assumptions!B7+IF(2&lt;=6,Assumptions!B131,IF(2&lt;=11,Assumptions!B141,Assumptions!B132))*Assumptions!B130/12),0)</f>
        <v/>
      </c>
      <c r="D41" s="18">
        <f>ROUND('Growth Curves'!D20*((1-IF(3&lt;=6,Assumptions!B131,IF(3&lt;=11,Assumptions!B141,Assumptions!B132)))*Assumptions!B7+IF(3&lt;=6,Assumptions!B131,IF(3&lt;=11,Assumptions!B141,Assumptions!B132))*Assumptions!B130/12),0)</f>
        <v/>
      </c>
      <c r="E41" s="18">
        <f>ROUND('Growth Curves'!E20*((1-IF(4&lt;=6,Assumptions!B131,IF(4&lt;=11,Assumptions!B141,Assumptions!B132)))*Assumptions!B7+IF(4&lt;=6,Assumptions!B131,IF(4&lt;=11,Assumptions!B141,Assumptions!B132))*Assumptions!B130/12),0)</f>
        <v/>
      </c>
      <c r="F41" s="18">
        <f>ROUND('Growth Curves'!F20*((1-IF(5&lt;=6,Assumptions!B131,IF(5&lt;=11,Assumptions!B141,Assumptions!B132)))*Assumptions!B7+IF(5&lt;=6,Assumptions!B131,IF(5&lt;=11,Assumptions!B141,Assumptions!B132))*Assumptions!B130/12),0)</f>
        <v/>
      </c>
      <c r="G41" s="18">
        <f>ROUND('Growth Curves'!G20*((1-IF(6&lt;=6,Assumptions!B131,IF(6&lt;=11,Assumptions!B141,Assumptions!B132)))*Assumptions!B7+IF(6&lt;=6,Assumptions!B131,IF(6&lt;=11,Assumptions!B141,Assumptions!B132))*Assumptions!B130/12),0)</f>
        <v/>
      </c>
      <c r="H41" s="18">
        <f>ROUND('Growth Curves'!H20*((1-IF(7&lt;=6,Assumptions!B131,IF(7&lt;=11,Assumptions!B141,Assumptions!B132)))*Assumptions!B7+IF(7&lt;=6,Assumptions!B131,IF(7&lt;=11,Assumptions!B141,Assumptions!B132))*Assumptions!B130/12),0)</f>
        <v/>
      </c>
      <c r="I41" s="18">
        <f>ROUND('Growth Curves'!I20*((1-IF(8&lt;=6,Assumptions!B131,IF(8&lt;=11,Assumptions!B141,Assumptions!B132)))*Assumptions!B7+IF(8&lt;=6,Assumptions!B131,IF(8&lt;=11,Assumptions!B141,Assumptions!B132))*Assumptions!B130/12),0)</f>
        <v/>
      </c>
      <c r="J41" s="18">
        <f>ROUND('Growth Curves'!J20*((1-IF(9&lt;=6,Assumptions!B131,IF(9&lt;=11,Assumptions!B141,Assumptions!B132)))*Assumptions!B7+IF(9&lt;=6,Assumptions!B131,IF(9&lt;=11,Assumptions!B141,Assumptions!B132))*Assumptions!B130/12),0)</f>
        <v/>
      </c>
      <c r="K41" s="18">
        <f>ROUND('Growth Curves'!K20*((1-IF(10&lt;=6,Assumptions!B131,IF(10&lt;=11,Assumptions!B141,Assumptions!B132)))*Assumptions!B7+IF(10&lt;=6,Assumptions!B131,IF(10&lt;=11,Assumptions!B141,Assumptions!B132))*Assumptions!B130/12),0)</f>
        <v/>
      </c>
      <c r="L41" s="18">
        <f>ROUND('Growth Curves'!L20*((1-IF(11&lt;=6,Assumptions!B131,IF(11&lt;=11,Assumptions!B141,Assumptions!B132)))*Assumptions!B7+IF(11&lt;=6,Assumptions!B131,IF(11&lt;=11,Assumptions!B141,Assumptions!B132))*Assumptions!B130/12),0)</f>
        <v/>
      </c>
      <c r="M41" s="18">
        <f>ROUND('Growth Curves'!M20*((1-IF(12&lt;=6,Assumptions!B131,IF(12&lt;=11,Assumptions!B141,Assumptions!B132)))*Assumptions!B7+IF(12&lt;=6,Assumptions!B131,IF(12&lt;=11,Assumptions!B141,Assumptions!B132))*Assumptions!B130/12),0)</f>
        <v/>
      </c>
      <c r="N41" s="18">
        <f>ROUND('Growth Curves'!N20*((1-IF(13&lt;=6,Assumptions!B131,IF(13&lt;=11,Assumptions!B141,Assumptions!B132)))*Assumptions!B7+IF(13&lt;=6,Assumptions!B131,IF(13&lt;=11,Assumptions!B141,Assumptions!B132))*Assumptions!B130/12),0)</f>
        <v/>
      </c>
      <c r="O41" s="18">
        <f>ROUND('Growth Curves'!O20*((1-IF(14&lt;=6,Assumptions!B131,IF(14&lt;=11,Assumptions!B141,Assumptions!B132)))*Assumptions!B7+IF(14&lt;=6,Assumptions!B131,IF(14&lt;=11,Assumptions!B141,Assumptions!B132))*Assumptions!B130/12),0)</f>
        <v/>
      </c>
      <c r="P41" s="18">
        <f>ROUND('Growth Curves'!P20*((1-IF(15&lt;=6,Assumptions!B131,IF(15&lt;=11,Assumptions!B141,Assumptions!B132)))*Assumptions!B7+IF(15&lt;=6,Assumptions!B131,IF(15&lt;=11,Assumptions!B141,Assumptions!B132))*Assumptions!B130/12),0)</f>
        <v/>
      </c>
      <c r="Q41" s="18">
        <f>ROUND('Growth Curves'!Q20*((1-IF(16&lt;=6,Assumptions!B131,IF(16&lt;=11,Assumptions!B141,Assumptions!B132)))*Assumptions!B7+IF(16&lt;=6,Assumptions!B131,IF(16&lt;=11,Assumptions!B141,Assumptions!B132))*Assumptions!B130/12),0)</f>
        <v/>
      </c>
      <c r="R41" s="18">
        <f>ROUND('Growth Curves'!R20*((1-IF(17&lt;=6,Assumptions!B131,IF(17&lt;=11,Assumptions!B141,Assumptions!B132)))*Assumptions!B7+IF(17&lt;=6,Assumptions!B131,IF(17&lt;=11,Assumptions!B141,Assumptions!B132))*Assumptions!B130/12),0)</f>
        <v/>
      </c>
      <c r="S41" s="18">
        <f>ROUND('Growth Curves'!S20*((1-IF(18&lt;=6,Assumptions!B131,IF(18&lt;=11,Assumptions!B141,Assumptions!B132)))*Assumptions!B7+IF(18&lt;=6,Assumptions!B131,IF(18&lt;=11,Assumptions!B141,Assumptions!B132))*Assumptions!B130/12),0)</f>
        <v/>
      </c>
      <c r="T41" s="18">
        <f>ROUND('Growth Curves'!T20*((1-IF(19&lt;=6,Assumptions!B131,IF(19&lt;=11,Assumptions!B141,Assumptions!B132)))*Assumptions!B7+IF(19&lt;=6,Assumptions!B131,IF(19&lt;=11,Assumptions!B141,Assumptions!B132))*Assumptions!B130/12),0)</f>
        <v/>
      </c>
      <c r="U41" s="18">
        <f>ROUND('Growth Curves'!U20*((1-IF(20&lt;=6,Assumptions!B131,IF(20&lt;=11,Assumptions!B141,Assumptions!B132)))*Assumptions!B7+IF(20&lt;=6,Assumptions!B131,IF(20&lt;=11,Assumptions!B141,Assumptions!B132))*Assumptions!B130/12),0)</f>
        <v/>
      </c>
      <c r="V41" s="18">
        <f>ROUND('Growth Curves'!V20*((1-IF(21&lt;=6,Assumptions!B131,IF(21&lt;=11,Assumptions!B141,Assumptions!B132)))*Assumptions!B7+IF(21&lt;=6,Assumptions!B131,IF(21&lt;=11,Assumptions!B141,Assumptions!B132))*Assumptions!B130/12),0)</f>
        <v/>
      </c>
      <c r="W41" s="18">
        <f>ROUND('Growth Curves'!W20*((1-IF(22&lt;=6,Assumptions!B131,IF(22&lt;=11,Assumptions!B141,Assumptions!B132)))*Assumptions!B7+IF(22&lt;=6,Assumptions!B131,IF(22&lt;=11,Assumptions!B141,Assumptions!B132))*Assumptions!B130/12),0)</f>
        <v/>
      </c>
      <c r="X41" s="18">
        <f>ROUND('Growth Curves'!X20*((1-IF(23&lt;=6,Assumptions!B131,IF(23&lt;=11,Assumptions!B141,Assumptions!B132)))*Assumptions!B7+IF(23&lt;=6,Assumptions!B131,IF(23&lt;=11,Assumptions!B141,Assumptions!B132))*Assumptions!B130/12),0)</f>
        <v/>
      </c>
      <c r="Y41" s="18">
        <f>ROUND('Growth Curves'!Y20*((1-IF(24&lt;=6,Assumptions!B131,IF(24&lt;=11,Assumptions!B141,Assumptions!B132)))*Assumptions!B7+IF(24&lt;=6,Assumptions!B131,IF(24&lt;=11,Assumptions!B141,Assumptions!B132))*Assumptions!B130/12),0)</f>
        <v/>
      </c>
      <c r="Z41" s="18">
        <f>SUM(B41:Y41)</f>
        <v/>
      </c>
    </row>
    <row r="42">
      <c r="A42" s="7" t="inlineStr">
        <is>
          <t xml:space="preserve">    Subscription MRR (recognized)</t>
        </is>
      </c>
      <c r="B42" s="8">
        <f>B39+B40+B41</f>
        <v/>
      </c>
      <c r="C42" s="8">
        <f>C39+C40+C41</f>
        <v/>
      </c>
      <c r="D42" s="8">
        <f>D39+D40+D41</f>
        <v/>
      </c>
      <c r="E42" s="8">
        <f>E39+E40+E41</f>
        <v/>
      </c>
      <c r="F42" s="8">
        <f>F39+F40+F41</f>
        <v/>
      </c>
      <c r="G42" s="8">
        <f>G39+G40+G41</f>
        <v/>
      </c>
      <c r="H42" s="8">
        <f>H39+H40+H41</f>
        <v/>
      </c>
      <c r="I42" s="8">
        <f>I39+I40+I41</f>
        <v/>
      </c>
      <c r="J42" s="8">
        <f>J39+J40+J41</f>
        <v/>
      </c>
      <c r="K42" s="8">
        <f>K39+K40+K41</f>
        <v/>
      </c>
      <c r="L42" s="8">
        <f>L39+L40+L41</f>
        <v/>
      </c>
      <c r="M42" s="8">
        <f>M39+M40+M41</f>
        <v/>
      </c>
      <c r="N42" s="8">
        <f>N39+N40+N41</f>
        <v/>
      </c>
      <c r="O42" s="8">
        <f>O39+O40+O41</f>
        <v/>
      </c>
      <c r="P42" s="8">
        <f>P39+P40+P41</f>
        <v/>
      </c>
      <c r="Q42" s="8">
        <f>Q39+Q40+Q41</f>
        <v/>
      </c>
      <c r="R42" s="8">
        <f>R39+R40+R41</f>
        <v/>
      </c>
      <c r="S42" s="8">
        <f>S39+S40+S41</f>
        <v/>
      </c>
      <c r="T42" s="8">
        <f>T39+T40+T41</f>
        <v/>
      </c>
      <c r="U42" s="8">
        <f>U39+U40+U41</f>
        <v/>
      </c>
      <c r="V42" s="8">
        <f>V39+V40+V41</f>
        <v/>
      </c>
      <c r="W42" s="8">
        <f>W39+W40+W41</f>
        <v/>
      </c>
      <c r="X42" s="8">
        <f>X39+X40+X41</f>
        <v/>
      </c>
      <c r="Y42" s="8">
        <f>Y39+Y40+Y41</f>
        <v/>
      </c>
      <c r="Z42" s="8">
        <f>SUM(B42:Y42)</f>
        <v/>
      </c>
    </row>
    <row r="43">
      <c r="A43" s="15" t="inlineStr">
        <is>
          <t xml:space="preserve">    [INFO] Annual Cash Collected (upfront, not P&amp;L revenue)</t>
        </is>
      </c>
      <c r="B43" s="16">
        <f>ROUND('Growth Curves'!B15*IF(1&lt;=6,Assumptions!B131,IF(1&lt;=11,Assumptions!B141,Assumptions!B132))*(Assumptions!B9*Assumptions!B128+Assumptions!B10*Assumptions!B129+Assumptions!B11*Assumptions!B130),0)</f>
        <v/>
      </c>
      <c r="C43" s="16">
        <f>ROUND('Growth Curves'!C15*IF(2&lt;=6,Assumptions!B131,IF(2&lt;=11,Assumptions!B141,Assumptions!B132))*(Assumptions!B9*Assumptions!B128+Assumptions!B10*Assumptions!B129+Assumptions!B11*Assumptions!B130),0)</f>
        <v/>
      </c>
      <c r="D43" s="16">
        <f>ROUND('Growth Curves'!D15*IF(3&lt;=6,Assumptions!B131,IF(3&lt;=11,Assumptions!B141,Assumptions!B132))*(Assumptions!B9*Assumptions!B128+Assumptions!B10*Assumptions!B129+Assumptions!B11*Assumptions!B130),0)</f>
        <v/>
      </c>
      <c r="E43" s="16">
        <f>ROUND('Growth Curves'!E15*IF(4&lt;=6,Assumptions!B131,IF(4&lt;=11,Assumptions!B141,Assumptions!B132))*(Assumptions!B9*Assumptions!B128+Assumptions!B10*Assumptions!B129+Assumptions!B11*Assumptions!B130),0)</f>
        <v/>
      </c>
      <c r="F43" s="16">
        <f>ROUND('Growth Curves'!F15*IF(5&lt;=6,Assumptions!B131,IF(5&lt;=11,Assumptions!B141,Assumptions!B132))*(Assumptions!B9*Assumptions!B128+Assumptions!B10*Assumptions!B129+Assumptions!B11*Assumptions!B130),0)</f>
        <v/>
      </c>
      <c r="G43" s="16">
        <f>ROUND('Growth Curves'!G15*IF(6&lt;=6,Assumptions!B131,IF(6&lt;=11,Assumptions!B141,Assumptions!B132))*(Assumptions!B9*Assumptions!B128+Assumptions!B10*Assumptions!B129+Assumptions!B11*Assumptions!B130),0)</f>
        <v/>
      </c>
      <c r="H43" s="16">
        <f>ROUND('Growth Curves'!H15*IF(7&lt;=6,Assumptions!B131,IF(7&lt;=11,Assumptions!B141,Assumptions!B132))*(Assumptions!B9*Assumptions!B128+Assumptions!B10*Assumptions!B129+Assumptions!B11*Assumptions!B130),0)</f>
        <v/>
      </c>
      <c r="I43" s="16">
        <f>ROUND('Growth Curves'!I15*IF(8&lt;=6,Assumptions!B131,IF(8&lt;=11,Assumptions!B141,Assumptions!B132))*(Assumptions!B9*Assumptions!B128+Assumptions!B10*Assumptions!B129+Assumptions!B11*Assumptions!B130),0)</f>
        <v/>
      </c>
      <c r="J43" s="16">
        <f>ROUND('Growth Curves'!J15*IF(9&lt;=6,Assumptions!B131,IF(9&lt;=11,Assumptions!B141,Assumptions!B132))*(Assumptions!B9*Assumptions!B128+Assumptions!B10*Assumptions!B129+Assumptions!B11*Assumptions!B130),0)</f>
        <v/>
      </c>
      <c r="K43" s="16">
        <f>ROUND('Growth Curves'!K15*IF(10&lt;=6,Assumptions!B131,IF(10&lt;=11,Assumptions!B141,Assumptions!B132))*(Assumptions!B9*Assumptions!B128+Assumptions!B10*Assumptions!B129+Assumptions!B11*Assumptions!B130),0)</f>
        <v/>
      </c>
      <c r="L43" s="16">
        <f>ROUND('Growth Curves'!L15*IF(11&lt;=6,Assumptions!B131,IF(11&lt;=11,Assumptions!B141,Assumptions!B132))*(Assumptions!B9*Assumptions!B128+Assumptions!B10*Assumptions!B129+Assumptions!B11*Assumptions!B130),0)</f>
        <v/>
      </c>
      <c r="M43" s="16">
        <f>ROUND('Growth Curves'!M15*IF(12&lt;=6,Assumptions!B131,IF(12&lt;=11,Assumptions!B141,Assumptions!B132))*(Assumptions!B9*Assumptions!B128+Assumptions!B10*Assumptions!B129+Assumptions!B11*Assumptions!B130),0)</f>
        <v/>
      </c>
      <c r="N43" s="16">
        <f>ROUND('Growth Curves'!N15*IF(13&lt;=6,Assumptions!B131,IF(13&lt;=11,Assumptions!B141,Assumptions!B132))*(Assumptions!B9*Assumptions!B128+Assumptions!B10*Assumptions!B129+Assumptions!B11*Assumptions!B130),0)</f>
        <v/>
      </c>
      <c r="O43" s="16">
        <f>ROUND('Growth Curves'!O15*IF(14&lt;=6,Assumptions!B131,IF(14&lt;=11,Assumptions!B141,Assumptions!B132))*(Assumptions!B9*Assumptions!B128+Assumptions!B10*Assumptions!B129+Assumptions!B11*Assumptions!B130),0)</f>
        <v/>
      </c>
      <c r="P43" s="16">
        <f>ROUND('Growth Curves'!P15*IF(15&lt;=6,Assumptions!B131,IF(15&lt;=11,Assumptions!B141,Assumptions!B132))*(Assumptions!B9*Assumptions!B128+Assumptions!B10*Assumptions!B129+Assumptions!B11*Assumptions!B130),0)</f>
        <v/>
      </c>
      <c r="Q43" s="16">
        <f>ROUND('Growth Curves'!Q15*IF(16&lt;=6,Assumptions!B131,IF(16&lt;=11,Assumptions!B141,Assumptions!B132))*(Assumptions!B9*Assumptions!B128+Assumptions!B10*Assumptions!B129+Assumptions!B11*Assumptions!B130),0)</f>
        <v/>
      </c>
      <c r="R43" s="16">
        <f>ROUND('Growth Curves'!R15*IF(17&lt;=6,Assumptions!B131,IF(17&lt;=11,Assumptions!B141,Assumptions!B132))*(Assumptions!B9*Assumptions!B128+Assumptions!B10*Assumptions!B129+Assumptions!B11*Assumptions!B130),0)</f>
        <v/>
      </c>
      <c r="S43" s="16">
        <f>ROUND('Growth Curves'!S15*IF(18&lt;=6,Assumptions!B131,IF(18&lt;=11,Assumptions!B141,Assumptions!B132))*(Assumptions!B9*Assumptions!B128+Assumptions!B10*Assumptions!B129+Assumptions!B11*Assumptions!B130),0)</f>
        <v/>
      </c>
      <c r="T43" s="16">
        <f>ROUND('Growth Curves'!T15*IF(19&lt;=6,Assumptions!B131,IF(19&lt;=11,Assumptions!B141,Assumptions!B132))*(Assumptions!B9*Assumptions!B128+Assumptions!B10*Assumptions!B129+Assumptions!B11*Assumptions!B130),0)</f>
        <v/>
      </c>
      <c r="U43" s="16">
        <f>ROUND('Growth Curves'!U15*IF(20&lt;=6,Assumptions!B131,IF(20&lt;=11,Assumptions!B141,Assumptions!B132))*(Assumptions!B9*Assumptions!B128+Assumptions!B10*Assumptions!B129+Assumptions!B11*Assumptions!B130),0)</f>
        <v/>
      </c>
      <c r="V43" s="16">
        <f>ROUND('Growth Curves'!V15*IF(21&lt;=6,Assumptions!B131,IF(21&lt;=11,Assumptions!B141,Assumptions!B132))*(Assumptions!B9*Assumptions!B128+Assumptions!B10*Assumptions!B129+Assumptions!B11*Assumptions!B130),0)</f>
        <v/>
      </c>
      <c r="W43" s="16">
        <f>ROUND('Growth Curves'!W15*IF(22&lt;=6,Assumptions!B131,IF(22&lt;=11,Assumptions!B141,Assumptions!B132))*(Assumptions!B9*Assumptions!B128+Assumptions!B10*Assumptions!B129+Assumptions!B11*Assumptions!B130),0)</f>
        <v/>
      </c>
      <c r="X43" s="16">
        <f>ROUND('Growth Curves'!X15*IF(23&lt;=6,Assumptions!B131,IF(23&lt;=11,Assumptions!B141,Assumptions!B132))*(Assumptions!B9*Assumptions!B128+Assumptions!B10*Assumptions!B129+Assumptions!B11*Assumptions!B130),0)</f>
        <v/>
      </c>
      <c r="Y43" s="16">
        <f>ROUND('Growth Curves'!Y15*IF(24&lt;=6,Assumptions!B131,IF(24&lt;=11,Assumptions!B141,Assumptions!B132))*(Assumptions!B9*Assumptions!B128+Assumptions!B10*Assumptions!B129+Assumptions!B11*Assumptions!B130),0)</f>
        <v/>
      </c>
      <c r="Z43" s="16">
        <f>SUM(B43:Y43)</f>
        <v/>
      </c>
    </row>
    <row r="44">
      <c r="A44" s="13" t="inlineStr">
        <is>
          <t xml:space="preserve">  B2B Corporate Wellness (EX-02: BGM EUR 39/PEPM)</t>
        </is>
      </c>
      <c r="B44" s="14">
        <f>ROUND('Growth Curves'!B22*Assumptions!B133*Assumptions!B134,0)</f>
        <v/>
      </c>
      <c r="C44" s="14">
        <f>ROUND('Growth Curves'!C22*Assumptions!B133*Assumptions!B134,0)</f>
        <v/>
      </c>
      <c r="D44" s="14">
        <f>ROUND('Growth Curves'!D22*Assumptions!B133*Assumptions!B134,0)</f>
        <v/>
      </c>
      <c r="E44" s="14">
        <f>ROUND('Growth Curves'!E22*Assumptions!B133*Assumptions!B134,0)</f>
        <v/>
      </c>
      <c r="F44" s="14">
        <f>ROUND('Growth Curves'!F22*Assumptions!B133*Assumptions!B134,0)</f>
        <v/>
      </c>
      <c r="G44" s="14">
        <f>ROUND('Growth Curves'!G22*Assumptions!B133*Assumptions!B134,0)</f>
        <v/>
      </c>
      <c r="H44" s="14">
        <f>ROUND('Growth Curves'!H22*Assumptions!B133*Assumptions!B134,0)</f>
        <v/>
      </c>
      <c r="I44" s="14">
        <f>ROUND('Growth Curves'!I22*Assumptions!B133*Assumptions!B134,0)</f>
        <v/>
      </c>
      <c r="J44" s="14">
        <f>ROUND('Growth Curves'!J22*Assumptions!B133*Assumptions!B134,0)</f>
        <v/>
      </c>
      <c r="K44" s="14">
        <f>ROUND('Growth Curves'!K22*Assumptions!B133*Assumptions!B134,0)</f>
        <v/>
      </c>
      <c r="L44" s="14">
        <f>ROUND('Growth Curves'!L22*Assumptions!B133*Assumptions!B134,0)</f>
        <v/>
      </c>
      <c r="M44" s="14">
        <f>ROUND('Growth Curves'!M22*Assumptions!B133*Assumptions!B134,0)</f>
        <v/>
      </c>
      <c r="N44" s="14">
        <f>ROUND('Growth Curves'!N22*Assumptions!B133*Assumptions!B134,0)</f>
        <v/>
      </c>
      <c r="O44" s="14">
        <f>ROUND('Growth Curves'!O22*Assumptions!B133*Assumptions!B134,0)</f>
        <v/>
      </c>
      <c r="P44" s="14">
        <f>ROUND('Growth Curves'!P22*Assumptions!B133*Assumptions!B134,0)</f>
        <v/>
      </c>
      <c r="Q44" s="14">
        <f>ROUND('Growth Curves'!Q22*Assumptions!B133*Assumptions!B134,0)</f>
        <v/>
      </c>
      <c r="R44" s="14">
        <f>ROUND('Growth Curves'!R22*Assumptions!B133*Assumptions!B134,0)</f>
        <v/>
      </c>
      <c r="S44" s="14">
        <f>ROUND('Growth Curves'!S22*Assumptions!B133*Assumptions!B134,0)</f>
        <v/>
      </c>
      <c r="T44" s="14">
        <f>ROUND('Growth Curves'!T22*Assumptions!B133*Assumptions!B134,0)</f>
        <v/>
      </c>
      <c r="U44" s="14">
        <f>ROUND('Growth Curves'!U22*Assumptions!B133*Assumptions!B134,0)</f>
        <v/>
      </c>
      <c r="V44" s="14">
        <f>ROUND('Growth Curves'!V22*Assumptions!B133*Assumptions!B134,0)</f>
        <v/>
      </c>
      <c r="W44" s="14">
        <f>ROUND('Growth Curves'!W22*Assumptions!B133*Assumptions!B134,0)</f>
        <v/>
      </c>
      <c r="X44" s="14">
        <f>ROUND('Growth Curves'!X22*Assumptions!B133*Assumptions!B134,0)</f>
        <v/>
      </c>
      <c r="Y44" s="14">
        <f>ROUND('Growth Curves'!Y22*Assumptions!B133*Assumptions!B134,0)</f>
        <v/>
      </c>
      <c r="Z44" s="14">
        <f>SUM(B44:Y44)</f>
        <v/>
      </c>
    </row>
    <row r="45">
      <c r="A45" s="13" t="inlineStr">
        <is>
          <t xml:space="preserve">  Gift Cards (EX-03: EUR 441/mo net, 10% breakage applied)</t>
        </is>
      </c>
      <c r="B45" s="14">
        <f>IF(1&gt;=4,Assumptions!B135,0)</f>
        <v/>
      </c>
      <c r="C45" s="14">
        <f>IF(2&gt;=4,Assumptions!B135,0)</f>
        <v/>
      </c>
      <c r="D45" s="14">
        <f>IF(3&gt;=4,Assumptions!B135,0)</f>
        <v/>
      </c>
      <c r="E45" s="14">
        <f>IF(4&gt;=4,Assumptions!B135,0)</f>
        <v/>
      </c>
      <c r="F45" s="14">
        <f>IF(5&gt;=4,Assumptions!B135,0)</f>
        <v/>
      </c>
      <c r="G45" s="14">
        <f>IF(6&gt;=4,Assumptions!B135,0)</f>
        <v/>
      </c>
      <c r="H45" s="14">
        <f>IF(7&gt;=4,Assumptions!B135,0)</f>
        <v/>
      </c>
      <c r="I45" s="14">
        <f>IF(8&gt;=4,Assumptions!B135,0)</f>
        <v/>
      </c>
      <c r="J45" s="14">
        <f>IF(9&gt;=4,Assumptions!B135,0)</f>
        <v/>
      </c>
      <c r="K45" s="14">
        <f>IF(10&gt;=4,Assumptions!B135,0)</f>
        <v/>
      </c>
      <c r="L45" s="14">
        <f>IF(11&gt;=4,Assumptions!B135,0)</f>
        <v/>
      </c>
      <c r="M45" s="14">
        <f>IF(12&gt;=4,Assumptions!B135,0)</f>
        <v/>
      </c>
      <c r="N45" s="14">
        <f>IF(13&gt;=4,Assumptions!B135,0)</f>
        <v/>
      </c>
      <c r="O45" s="14">
        <f>IF(14&gt;=4,Assumptions!B135,0)</f>
        <v/>
      </c>
      <c r="P45" s="14">
        <f>IF(15&gt;=4,Assumptions!B135,0)</f>
        <v/>
      </c>
      <c r="Q45" s="14">
        <f>IF(16&gt;=4,Assumptions!B135,0)</f>
        <v/>
      </c>
      <c r="R45" s="14">
        <f>IF(17&gt;=4,Assumptions!B135,0)</f>
        <v/>
      </c>
      <c r="S45" s="14">
        <f>IF(18&gt;=4,Assumptions!B135,0)</f>
        <v/>
      </c>
      <c r="T45" s="14">
        <f>IF(19&gt;=4,Assumptions!B135,0)</f>
        <v/>
      </c>
      <c r="U45" s="14">
        <f>IF(20&gt;=4,Assumptions!B135,0)</f>
        <v/>
      </c>
      <c r="V45" s="14">
        <f>IF(21&gt;=4,Assumptions!B135,0)</f>
        <v/>
      </c>
      <c r="W45" s="14">
        <f>IF(22&gt;=4,Assumptions!B135,0)</f>
        <v/>
      </c>
      <c r="X45" s="14">
        <f>IF(23&gt;=4,Assumptions!B135,0)</f>
        <v/>
      </c>
      <c r="Y45" s="14">
        <f>IF(24&gt;=4,Assumptions!B135,0)</f>
        <v/>
      </c>
      <c r="Z45" s="14">
        <f>SUM(B45:Y45)</f>
        <v/>
      </c>
    </row>
    <row r="47">
      <c r="A47" s="19" t="inlineStr">
        <is>
          <t>TOTAL INCOME</t>
        </is>
      </c>
      <c r="B47" s="20">
        <f>B17+B21+B25+B31+B35+B36+B42+B44+B45</f>
        <v/>
      </c>
      <c r="C47" s="20">
        <f>C17+C21+C25+C31+C35+C36+C42+C44+C45</f>
        <v/>
      </c>
      <c r="D47" s="20">
        <f>D17+D21+D25+D31+D35+D36+D42+D44+D45</f>
        <v/>
      </c>
      <c r="E47" s="20">
        <f>E17+E21+E25+E31+E35+E36+E42+E44+E45</f>
        <v/>
      </c>
      <c r="F47" s="20">
        <f>F17+F21+F25+F31+F35+F36+F42+F44+F45</f>
        <v/>
      </c>
      <c r="G47" s="20">
        <f>G17+G21+G25+G31+G35+G36+G42+G44+G45</f>
        <v/>
      </c>
      <c r="H47" s="20">
        <f>H17+H21+H25+H31+H35+H36+H42+H44+H45</f>
        <v/>
      </c>
      <c r="I47" s="20">
        <f>I17+I21+I25+I31+I35+I36+I42+I44+I45</f>
        <v/>
      </c>
      <c r="J47" s="20">
        <f>J17+J21+J25+J31+J35+J36+J42+J44+J45</f>
        <v/>
      </c>
      <c r="K47" s="20">
        <f>K17+K21+K25+K31+K35+K36+K42+K44+K45</f>
        <v/>
      </c>
      <c r="L47" s="20">
        <f>L17+L21+L25+L31+L35+L36+L42+L44+L45</f>
        <v/>
      </c>
      <c r="M47" s="20">
        <f>M17+M21+M25+M31+M35+M36+M42+M44+M45</f>
        <v/>
      </c>
      <c r="N47" s="20">
        <f>N17+N21+N25+N31+N35+N36+N42+N44+N45</f>
        <v/>
      </c>
      <c r="O47" s="20">
        <f>O17+O21+O25+O31+O35+O36+O42+O44+O45</f>
        <v/>
      </c>
      <c r="P47" s="20">
        <f>P17+P21+P25+P31+P35+P36+P42+P44+P45</f>
        <v/>
      </c>
      <c r="Q47" s="20">
        <f>Q17+Q21+Q25+Q31+Q35+Q36+Q42+Q44+Q45</f>
        <v/>
      </c>
      <c r="R47" s="20">
        <f>R17+R21+R25+R31+R35+R36+R42+R44+R45</f>
        <v/>
      </c>
      <c r="S47" s="20">
        <f>S17+S21+S25+S31+S35+S36+S42+S44+S45</f>
        <v/>
      </c>
      <c r="T47" s="20">
        <f>T17+T21+T25+T31+T35+T36+T42+T44+T45</f>
        <v/>
      </c>
      <c r="U47" s="20">
        <f>U17+U21+U25+U31+U35+U36+U42+U44+U45</f>
        <v/>
      </c>
      <c r="V47" s="20">
        <f>V17+V21+V25+V31+V35+V36+V42+V44+V45</f>
        <v/>
      </c>
      <c r="W47" s="20">
        <f>W17+W21+W25+W31+W35+W36+W42+W44+W45</f>
        <v/>
      </c>
      <c r="X47" s="20">
        <f>X17+X21+X25+X31+X35+X36+X42+X44+X45</f>
        <v/>
      </c>
      <c r="Y47" s="20">
        <f>Y17+Y21+Y25+Y31+Y35+Y36+Y42+Y44+Y45</f>
        <v/>
      </c>
      <c r="Z47" s="20">
        <f>SUM(B47:Y47)</f>
        <v/>
      </c>
    </row>
    <row r="49">
      <c r="A49" s="4" t="inlineStr">
        <is>
          <t>COST OF GOODS SOLD (COGS)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9" t="inlineStr">
        <is>
          <t xml:space="preserve">  Retail COGS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>
      <c r="A51" s="17" t="inlineStr">
        <is>
          <t xml:space="preserve">    Product cost (EUR 23.50/unit)</t>
        </is>
      </c>
      <c r="B51" s="18">
        <f>ROUND(B15*Assumptions!B23,0)</f>
        <v/>
      </c>
      <c r="C51" s="18">
        <f>ROUND(C15*Assumptions!B23,0)</f>
        <v/>
      </c>
      <c r="D51" s="18">
        <f>ROUND(D15*Assumptions!B23,0)</f>
        <v/>
      </c>
      <c r="E51" s="18">
        <f>ROUND(E15*Assumptions!B23,0)</f>
        <v/>
      </c>
      <c r="F51" s="18">
        <f>ROUND(F15*Assumptions!B23,0)</f>
        <v/>
      </c>
      <c r="G51" s="18">
        <f>ROUND(G15*Assumptions!B23,0)</f>
        <v/>
      </c>
      <c r="H51" s="18">
        <f>ROUND(H15*Assumptions!B23,0)</f>
        <v/>
      </c>
      <c r="I51" s="18">
        <f>ROUND(I15*Assumptions!B23,0)</f>
        <v/>
      </c>
      <c r="J51" s="18">
        <f>ROUND(J15*Assumptions!B23,0)</f>
        <v/>
      </c>
      <c r="K51" s="18">
        <f>ROUND(K15*Assumptions!B23,0)</f>
        <v/>
      </c>
      <c r="L51" s="18">
        <f>ROUND(L15*Assumptions!B23,0)</f>
        <v/>
      </c>
      <c r="M51" s="18">
        <f>ROUND(M15*Assumptions!B23,0)</f>
        <v/>
      </c>
      <c r="N51" s="18">
        <f>ROUND(N15*Assumptions!B23,0)</f>
        <v/>
      </c>
      <c r="O51" s="18">
        <f>ROUND(O15*Assumptions!B23,0)</f>
        <v/>
      </c>
      <c r="P51" s="18">
        <f>ROUND(P15*Assumptions!B23,0)</f>
        <v/>
      </c>
      <c r="Q51" s="18">
        <f>ROUND(Q15*Assumptions!B23,0)</f>
        <v/>
      </c>
      <c r="R51" s="18">
        <f>ROUND(R15*Assumptions!B23,0)</f>
        <v/>
      </c>
      <c r="S51" s="18">
        <f>ROUND(S15*Assumptions!B23,0)</f>
        <v/>
      </c>
      <c r="T51" s="18">
        <f>ROUND(T15*Assumptions!B23,0)</f>
        <v/>
      </c>
      <c r="U51" s="18">
        <f>ROUND(U15*Assumptions!B23,0)</f>
        <v/>
      </c>
      <c r="V51" s="18">
        <f>ROUND(V15*Assumptions!B23,0)</f>
        <v/>
      </c>
      <c r="W51" s="18">
        <f>ROUND(W15*Assumptions!B23,0)</f>
        <v/>
      </c>
      <c r="X51" s="18">
        <f>ROUND(X15*Assumptions!B23,0)</f>
        <v/>
      </c>
      <c r="Y51" s="18">
        <f>ROUND(Y15*Assumptions!B23,0)</f>
        <v/>
      </c>
      <c r="Z51" s="18">
        <f>SUM(B51:Y51)</f>
        <v/>
      </c>
    </row>
    <row r="52">
      <c r="A52" s="17" t="inlineStr">
        <is>
          <t xml:space="preserve">    Waste/spoilage (5.5%)</t>
        </is>
      </c>
      <c r="B52" s="18">
        <f>ROUND(B17*Assumptions!B36,0)</f>
        <v/>
      </c>
      <c r="C52" s="18">
        <f>ROUND(C17*Assumptions!B36,0)</f>
        <v/>
      </c>
      <c r="D52" s="18">
        <f>ROUND(D17*Assumptions!B36,0)</f>
        <v/>
      </c>
      <c r="E52" s="18">
        <f>ROUND(E17*Assumptions!B36,0)</f>
        <v/>
      </c>
      <c r="F52" s="18">
        <f>ROUND(F17*Assumptions!B36,0)</f>
        <v/>
      </c>
      <c r="G52" s="18">
        <f>ROUND(G17*Assumptions!B36,0)</f>
        <v/>
      </c>
      <c r="H52" s="18">
        <f>ROUND(H17*Assumptions!B36,0)</f>
        <v/>
      </c>
      <c r="I52" s="18">
        <f>ROUND(I17*Assumptions!B36,0)</f>
        <v/>
      </c>
      <c r="J52" s="18">
        <f>ROUND(J17*Assumptions!B36,0)</f>
        <v/>
      </c>
      <c r="K52" s="18">
        <f>ROUND(K17*Assumptions!B36,0)</f>
        <v/>
      </c>
      <c r="L52" s="18">
        <f>ROUND(L17*Assumptions!B36,0)</f>
        <v/>
      </c>
      <c r="M52" s="18">
        <f>ROUND(M17*Assumptions!B36,0)</f>
        <v/>
      </c>
      <c r="N52" s="18">
        <f>ROUND(N17*Assumptions!B36,0)</f>
        <v/>
      </c>
      <c r="O52" s="18">
        <f>ROUND(O17*Assumptions!B36,0)</f>
        <v/>
      </c>
      <c r="P52" s="18">
        <f>ROUND(P17*Assumptions!B36,0)</f>
        <v/>
      </c>
      <c r="Q52" s="18">
        <f>ROUND(Q17*Assumptions!B36,0)</f>
        <v/>
      </c>
      <c r="R52" s="18">
        <f>ROUND(R17*Assumptions!B36,0)</f>
        <v/>
      </c>
      <c r="S52" s="18">
        <f>ROUND(S17*Assumptions!B36,0)</f>
        <v/>
      </c>
      <c r="T52" s="18">
        <f>ROUND(T17*Assumptions!B36,0)</f>
        <v/>
      </c>
      <c r="U52" s="18">
        <f>ROUND(U17*Assumptions!B36,0)</f>
        <v/>
      </c>
      <c r="V52" s="18">
        <f>ROUND(V17*Assumptions!B36,0)</f>
        <v/>
      </c>
      <c r="W52" s="18">
        <f>ROUND(W17*Assumptions!B36,0)</f>
        <v/>
      </c>
      <c r="X52" s="18">
        <f>ROUND(X17*Assumptions!B36,0)</f>
        <v/>
      </c>
      <c r="Y52" s="18">
        <f>ROUND(Y17*Assumptions!B36,0)</f>
        <v/>
      </c>
      <c r="Z52" s="18">
        <f>SUM(B52:Y52)</f>
        <v/>
      </c>
    </row>
    <row r="53">
      <c r="A53" s="13" t="inlineStr">
        <is>
          <t xml:space="preserve">    3PL fulfillment (EUR 2.50/unit)</t>
        </is>
      </c>
      <c r="B53" s="14">
        <f>IF(1&gt;=4,ROUND(B15*Assumptions!B37,0),0)</f>
        <v/>
      </c>
      <c r="C53" s="14">
        <f>IF(2&gt;=4,ROUND(C15*Assumptions!B37,0),0)</f>
        <v/>
      </c>
      <c r="D53" s="14">
        <f>IF(3&gt;=4,ROUND(D15*Assumptions!B37,0),0)</f>
        <v/>
      </c>
      <c r="E53" s="14">
        <f>IF(4&gt;=4,ROUND(E15*Assumptions!B37,0),0)</f>
        <v/>
      </c>
      <c r="F53" s="14">
        <f>IF(5&gt;=4,ROUND(F15*Assumptions!B37,0),0)</f>
        <v/>
      </c>
      <c r="G53" s="14">
        <f>IF(6&gt;=4,ROUND(G15*Assumptions!B37,0),0)</f>
        <v/>
      </c>
      <c r="H53" s="14">
        <f>IF(7&gt;=4,ROUND(H15*Assumptions!B37,0),0)</f>
        <v/>
      </c>
      <c r="I53" s="14">
        <f>IF(8&gt;=4,ROUND(I15*Assumptions!B37,0),0)</f>
        <v/>
      </c>
      <c r="J53" s="14">
        <f>IF(9&gt;=4,ROUND(J15*Assumptions!B37,0),0)</f>
        <v/>
      </c>
      <c r="K53" s="14">
        <f>IF(10&gt;=4,ROUND(K15*Assumptions!B37,0),0)</f>
        <v/>
      </c>
      <c r="L53" s="14">
        <f>IF(11&gt;=4,ROUND(L15*Assumptions!B37,0),0)</f>
        <v/>
      </c>
      <c r="M53" s="14">
        <f>IF(12&gt;=4,ROUND(M15*Assumptions!B37,0),0)</f>
        <v/>
      </c>
      <c r="N53" s="14">
        <f>IF(13&gt;=4,ROUND(N15*Assumptions!B37,0),0)</f>
        <v/>
      </c>
      <c r="O53" s="14">
        <f>IF(14&gt;=4,ROUND(O15*Assumptions!B37,0),0)</f>
        <v/>
      </c>
      <c r="P53" s="14">
        <f>IF(15&gt;=4,ROUND(P15*Assumptions!B37,0),0)</f>
        <v/>
      </c>
      <c r="Q53" s="14">
        <f>IF(16&gt;=4,ROUND(Q15*Assumptions!B37,0),0)</f>
        <v/>
      </c>
      <c r="R53" s="14">
        <f>IF(17&gt;=4,ROUND(R15*Assumptions!B37,0),0)</f>
        <v/>
      </c>
      <c r="S53" s="14">
        <f>IF(18&gt;=4,ROUND(S15*Assumptions!B37,0),0)</f>
        <v/>
      </c>
      <c r="T53" s="14">
        <f>IF(19&gt;=4,ROUND(T15*Assumptions!B37,0),0)</f>
        <v/>
      </c>
      <c r="U53" s="14">
        <f>IF(20&gt;=4,ROUND(U15*Assumptions!B37,0),0)</f>
        <v/>
      </c>
      <c r="V53" s="14">
        <f>IF(21&gt;=4,ROUND(V15*Assumptions!B37,0),0)</f>
        <v/>
      </c>
      <c r="W53" s="14">
        <f>IF(22&gt;=4,ROUND(W15*Assumptions!B37,0),0)</f>
        <v/>
      </c>
      <c r="X53" s="14">
        <f>IF(23&gt;=4,ROUND(X15*Assumptions!B37,0),0)</f>
        <v/>
      </c>
      <c r="Y53" s="14">
        <f>IF(24&gt;=4,ROUND(Y15*Assumptions!B37,0),0)</f>
        <v/>
      </c>
      <c r="Z53" s="14">
        <f>SUM(B53:Y53)</f>
        <v/>
      </c>
    </row>
    <row r="54">
      <c r="A54" s="13" t="inlineStr">
        <is>
          <t xml:space="preserve">  LED COGS (free — no practitioner)</t>
        </is>
      </c>
      <c r="B54" s="14">
        <f>ROUND(B19*Assumptions!B25,0)</f>
        <v/>
      </c>
      <c r="C54" s="14">
        <f>ROUND(C19*Assumptions!B25,0)</f>
        <v/>
      </c>
      <c r="D54" s="14">
        <f>ROUND(D19*Assumptions!B25,0)</f>
        <v/>
      </c>
      <c r="E54" s="14">
        <f>ROUND(E19*Assumptions!B25,0)</f>
        <v/>
      </c>
      <c r="F54" s="14">
        <f>ROUND(F19*Assumptions!B25,0)</f>
        <v/>
      </c>
      <c r="G54" s="14">
        <f>ROUND(G19*Assumptions!B25,0)</f>
        <v/>
      </c>
      <c r="H54" s="14">
        <f>ROUND(H19*Assumptions!B25,0)</f>
        <v/>
      </c>
      <c r="I54" s="14">
        <f>ROUND(I19*Assumptions!B25,0)</f>
        <v/>
      </c>
      <c r="J54" s="14">
        <f>ROUND(J19*Assumptions!B25,0)</f>
        <v/>
      </c>
      <c r="K54" s="14">
        <f>ROUND(K19*Assumptions!B25,0)</f>
        <v/>
      </c>
      <c r="L54" s="14">
        <f>ROUND(L19*Assumptions!B25,0)</f>
        <v/>
      </c>
      <c r="M54" s="14">
        <f>ROUND(M19*Assumptions!B25,0)</f>
        <v/>
      </c>
      <c r="N54" s="14">
        <f>ROUND(N19*Assumptions!B25,0)</f>
        <v/>
      </c>
      <c r="O54" s="14">
        <f>ROUND(O19*Assumptions!B25,0)</f>
        <v/>
      </c>
      <c r="P54" s="14">
        <f>ROUND(P19*Assumptions!B25,0)</f>
        <v/>
      </c>
      <c r="Q54" s="14">
        <f>ROUND(Q19*Assumptions!B25,0)</f>
        <v/>
      </c>
      <c r="R54" s="14">
        <f>ROUND(R19*Assumptions!B25,0)</f>
        <v/>
      </c>
      <c r="S54" s="14">
        <f>ROUND(S19*Assumptions!B25,0)</f>
        <v/>
      </c>
      <c r="T54" s="14">
        <f>ROUND(T19*Assumptions!B25,0)</f>
        <v/>
      </c>
      <c r="U54" s="14">
        <f>ROUND(U19*Assumptions!B25,0)</f>
        <v/>
      </c>
      <c r="V54" s="14">
        <f>ROUND(V19*Assumptions!B25,0)</f>
        <v/>
      </c>
      <c r="W54" s="14">
        <f>ROUND(W19*Assumptions!B25,0)</f>
        <v/>
      </c>
      <c r="X54" s="14">
        <f>ROUND(X19*Assumptions!B25,0)</f>
        <v/>
      </c>
      <c r="Y54" s="14">
        <f>ROUND(Y19*Assumptions!B25,0)</f>
        <v/>
      </c>
      <c r="Z54" s="14">
        <f>SUM(B54:Y54)</f>
        <v/>
      </c>
    </row>
    <row r="55">
      <c r="A55" s="9" t="inlineStr">
        <is>
          <t xml:space="preserve">  Smoothie Bar COGS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>
      <c r="A56" s="13" t="inlineStr">
        <is>
          <t xml:space="preserve">    Ingredients + packaging (35%)</t>
        </is>
      </c>
      <c r="B56" s="14">
        <f>ROUND(B25*Assumptions!B27,0)</f>
        <v/>
      </c>
      <c r="C56" s="14">
        <f>ROUND(C25*Assumptions!B27,0)</f>
        <v/>
      </c>
      <c r="D56" s="14">
        <f>ROUND(D25*Assumptions!B27,0)</f>
        <v/>
      </c>
      <c r="E56" s="14">
        <f>ROUND(E25*Assumptions!B27,0)</f>
        <v/>
      </c>
      <c r="F56" s="14">
        <f>ROUND(F25*Assumptions!B27,0)</f>
        <v/>
      </c>
      <c r="G56" s="14">
        <f>ROUND(G25*Assumptions!B27,0)</f>
        <v/>
      </c>
      <c r="H56" s="14">
        <f>ROUND(H25*Assumptions!B27,0)</f>
        <v/>
      </c>
      <c r="I56" s="14">
        <f>ROUND(I25*Assumptions!B27,0)</f>
        <v/>
      </c>
      <c r="J56" s="14">
        <f>ROUND(J25*Assumptions!B27,0)</f>
        <v/>
      </c>
      <c r="K56" s="14">
        <f>ROUND(K25*Assumptions!B27,0)</f>
        <v/>
      </c>
      <c r="L56" s="14">
        <f>ROUND(L25*Assumptions!B27,0)</f>
        <v/>
      </c>
      <c r="M56" s="14">
        <f>ROUND(M25*Assumptions!B27,0)</f>
        <v/>
      </c>
      <c r="N56" s="14">
        <f>ROUND(N25*Assumptions!B27,0)</f>
        <v/>
      </c>
      <c r="O56" s="14">
        <f>ROUND(O25*Assumptions!B27,0)</f>
        <v/>
      </c>
      <c r="P56" s="14">
        <f>ROUND(P25*Assumptions!B27,0)</f>
        <v/>
      </c>
      <c r="Q56" s="14">
        <f>ROUND(Q25*Assumptions!B27,0)</f>
        <v/>
      </c>
      <c r="R56" s="14">
        <f>ROUND(R25*Assumptions!B27,0)</f>
        <v/>
      </c>
      <c r="S56" s="14">
        <f>ROUND(S25*Assumptions!B27,0)</f>
        <v/>
      </c>
      <c r="T56" s="14">
        <f>ROUND(T25*Assumptions!B27,0)</f>
        <v/>
      </c>
      <c r="U56" s="14">
        <f>ROUND(U25*Assumptions!B27,0)</f>
        <v/>
      </c>
      <c r="V56" s="14">
        <f>ROUND(V25*Assumptions!B27,0)</f>
        <v/>
      </c>
      <c r="W56" s="14">
        <f>ROUND(W25*Assumptions!B27,0)</f>
        <v/>
      </c>
      <c r="X56" s="14">
        <f>ROUND(X25*Assumptions!B27,0)</f>
        <v/>
      </c>
      <c r="Y56" s="14">
        <f>ROUND(Y25*Assumptions!B27,0)</f>
        <v/>
      </c>
      <c r="Z56" s="14">
        <f>SUM(B56:Y56)</f>
        <v/>
      </c>
    </row>
    <row r="57">
      <c r="A57" s="13" t="inlineStr">
        <is>
          <t xml:space="preserve">  Events &amp; Ticketing</t>
        </is>
      </c>
      <c r="B57" s="14">
        <f>ROUND(B27*Assumptions!B29+B31*Assumptions!B30,0)</f>
        <v/>
      </c>
      <c r="C57" s="14">
        <f>ROUND(C27*Assumptions!B29+C31*Assumptions!B30,0)</f>
        <v/>
      </c>
      <c r="D57" s="14">
        <f>ROUND(D27*Assumptions!B29+D31*Assumptions!B30,0)</f>
        <v/>
      </c>
      <c r="E57" s="14">
        <f>ROUND(E27*Assumptions!B29+E31*Assumptions!B30,0)</f>
        <v/>
      </c>
      <c r="F57" s="14">
        <f>ROUND(F27*Assumptions!B29+F31*Assumptions!B30,0)</f>
        <v/>
      </c>
      <c r="G57" s="14">
        <f>ROUND(G27*Assumptions!B29+G31*Assumptions!B30,0)</f>
        <v/>
      </c>
      <c r="H57" s="14">
        <f>ROUND(H27*Assumptions!B29+H31*Assumptions!B30,0)</f>
        <v/>
      </c>
      <c r="I57" s="14">
        <f>ROUND(I27*Assumptions!B29+I31*Assumptions!B30,0)</f>
        <v/>
      </c>
      <c r="J57" s="14">
        <f>ROUND(J27*Assumptions!B29+J31*Assumptions!B30,0)</f>
        <v/>
      </c>
      <c r="K57" s="14">
        <f>ROUND(K27*Assumptions!B29+K31*Assumptions!B30,0)</f>
        <v/>
      </c>
      <c r="L57" s="14">
        <f>ROUND(L27*Assumptions!B29+L31*Assumptions!B30,0)</f>
        <v/>
      </c>
      <c r="M57" s="14">
        <f>ROUND(M27*Assumptions!B29+M31*Assumptions!B30,0)</f>
        <v/>
      </c>
      <c r="N57" s="14">
        <f>ROUND(N27*Assumptions!B29+N31*Assumptions!B30,0)</f>
        <v/>
      </c>
      <c r="O57" s="14">
        <f>ROUND(O27*Assumptions!B29+O31*Assumptions!B30,0)</f>
        <v/>
      </c>
      <c r="P57" s="14">
        <f>ROUND(P27*Assumptions!B29+P31*Assumptions!B30,0)</f>
        <v/>
      </c>
      <c r="Q57" s="14">
        <f>ROUND(Q27*Assumptions!B29+Q31*Assumptions!B30,0)</f>
        <v/>
      </c>
      <c r="R57" s="14">
        <f>ROUND(R27*Assumptions!B29+R31*Assumptions!B30,0)</f>
        <v/>
      </c>
      <c r="S57" s="14">
        <f>ROUND(S27*Assumptions!B29+S31*Assumptions!B30,0)</f>
        <v/>
      </c>
      <c r="T57" s="14">
        <f>ROUND(T27*Assumptions!B29+T31*Assumptions!B30,0)</f>
        <v/>
      </c>
      <c r="U57" s="14">
        <f>ROUND(U27*Assumptions!B29+U31*Assumptions!B30,0)</f>
        <v/>
      </c>
      <c r="V57" s="14">
        <f>ROUND(V27*Assumptions!B29+V31*Assumptions!B30,0)</f>
        <v/>
      </c>
      <c r="W57" s="14">
        <f>ROUND(W27*Assumptions!B29+W31*Assumptions!B30,0)</f>
        <v/>
      </c>
      <c r="X57" s="14">
        <f>ROUND(X27*Assumptions!B29+X31*Assumptions!B30,0)</f>
        <v/>
      </c>
      <c r="Y57" s="14">
        <f>ROUND(Y27*Assumptions!B29+Y31*Assumptions!B30,0)</f>
        <v/>
      </c>
      <c r="Z57" s="14">
        <f>SUM(B57:Y57)</f>
        <v/>
      </c>
    </row>
    <row r="58">
      <c r="A58" s="17" t="inlineStr">
        <is>
          <t xml:space="preserve">  Doctor Verification (EUR 25/new)</t>
        </is>
      </c>
      <c r="B58" s="18">
        <f>ROUND('Growth Curves'!B12*Assumptions!B32,0)</f>
        <v/>
      </c>
      <c r="C58" s="18">
        <f>ROUND('Growth Curves'!C12*Assumptions!B32,0)</f>
        <v/>
      </c>
      <c r="D58" s="18">
        <f>ROUND('Growth Curves'!D12*Assumptions!B32,0)</f>
        <v/>
      </c>
      <c r="E58" s="18">
        <f>ROUND('Growth Curves'!E12*Assumptions!B32,0)</f>
        <v/>
      </c>
      <c r="F58" s="18">
        <f>ROUND('Growth Curves'!F12*Assumptions!B32,0)</f>
        <v/>
      </c>
      <c r="G58" s="18">
        <f>ROUND('Growth Curves'!G12*Assumptions!B32,0)</f>
        <v/>
      </c>
      <c r="H58" s="18">
        <f>ROUND('Growth Curves'!H12*Assumptions!B32,0)</f>
        <v/>
      </c>
      <c r="I58" s="18">
        <f>ROUND('Growth Curves'!I12*Assumptions!B32,0)</f>
        <v/>
      </c>
      <c r="J58" s="18">
        <f>ROUND('Growth Curves'!J12*Assumptions!B32,0)</f>
        <v/>
      </c>
      <c r="K58" s="18">
        <f>ROUND('Growth Curves'!K12*Assumptions!B32,0)</f>
        <v/>
      </c>
      <c r="L58" s="18">
        <f>ROUND('Growth Curves'!L12*Assumptions!B32,0)</f>
        <v/>
      </c>
      <c r="M58" s="18">
        <f>ROUND('Growth Curves'!M12*Assumptions!B32,0)</f>
        <v/>
      </c>
      <c r="N58" s="18">
        <f>ROUND('Growth Curves'!N12*Assumptions!B32,0)</f>
        <v/>
      </c>
      <c r="O58" s="18">
        <f>ROUND('Growth Curves'!O12*Assumptions!B32,0)</f>
        <v/>
      </c>
      <c r="P58" s="18">
        <f>ROUND('Growth Curves'!P12*Assumptions!B32,0)</f>
        <v/>
      </c>
      <c r="Q58" s="18">
        <f>ROUND('Growth Curves'!Q12*Assumptions!B32,0)</f>
        <v/>
      </c>
      <c r="R58" s="18">
        <f>ROUND('Growth Curves'!R12*Assumptions!B32,0)</f>
        <v/>
      </c>
      <c r="S58" s="18">
        <f>ROUND('Growth Curves'!S12*Assumptions!B32,0)</f>
        <v/>
      </c>
      <c r="T58" s="18">
        <f>ROUND('Growth Curves'!T12*Assumptions!B32,0)</f>
        <v/>
      </c>
      <c r="U58" s="18">
        <f>ROUND('Growth Curves'!U12*Assumptions!B32,0)</f>
        <v/>
      </c>
      <c r="V58" s="18">
        <f>ROUND('Growth Curves'!V12*Assumptions!B32,0)</f>
        <v/>
      </c>
      <c r="W58" s="18">
        <f>ROUND('Growth Curves'!W12*Assumptions!B32,0)</f>
        <v/>
      </c>
      <c r="X58" s="18">
        <f>ROUND('Growth Curves'!X12*Assumptions!B32,0)</f>
        <v/>
      </c>
      <c r="Y58" s="18">
        <f>ROUND('Growth Curves'!Y12*Assumptions!B32,0)</f>
        <v/>
      </c>
      <c r="Z58" s="18">
        <f>SUM(B58:Y58)</f>
        <v/>
      </c>
    </row>
    <row r="59">
      <c r="A59" s="17" t="inlineStr">
        <is>
          <t xml:space="preserve">  AI API — User-Facing (EUR 0.35/sub)</t>
        </is>
      </c>
      <c r="B59" s="18">
        <f>ROUND('Growth Curves'!B17*Assumptions!B39,0)</f>
        <v/>
      </c>
      <c r="C59" s="18">
        <f>ROUND('Growth Curves'!C17*Assumptions!B39,0)</f>
        <v/>
      </c>
      <c r="D59" s="18">
        <f>ROUND('Growth Curves'!D17*Assumptions!B39,0)</f>
        <v/>
      </c>
      <c r="E59" s="18">
        <f>ROUND('Growth Curves'!E17*Assumptions!B39,0)</f>
        <v/>
      </c>
      <c r="F59" s="18">
        <f>ROUND('Growth Curves'!F17*Assumptions!B39,0)</f>
        <v/>
      </c>
      <c r="G59" s="18">
        <f>ROUND('Growth Curves'!G17*Assumptions!B39,0)</f>
        <v/>
      </c>
      <c r="H59" s="18">
        <f>ROUND('Growth Curves'!H17*Assumptions!B39,0)</f>
        <v/>
      </c>
      <c r="I59" s="18">
        <f>ROUND('Growth Curves'!I17*Assumptions!B39,0)</f>
        <v/>
      </c>
      <c r="J59" s="18">
        <f>ROUND('Growth Curves'!J17*Assumptions!B39,0)</f>
        <v/>
      </c>
      <c r="K59" s="18">
        <f>ROUND('Growth Curves'!K17*Assumptions!B39,0)</f>
        <v/>
      </c>
      <c r="L59" s="18">
        <f>ROUND('Growth Curves'!L17*Assumptions!B39,0)</f>
        <v/>
      </c>
      <c r="M59" s="18">
        <f>ROUND('Growth Curves'!M17*Assumptions!B39,0)</f>
        <v/>
      </c>
      <c r="N59" s="18">
        <f>ROUND('Growth Curves'!N17*Assumptions!B39,0)</f>
        <v/>
      </c>
      <c r="O59" s="18">
        <f>ROUND('Growth Curves'!O17*Assumptions!B39,0)</f>
        <v/>
      </c>
      <c r="P59" s="18">
        <f>ROUND('Growth Curves'!P17*Assumptions!B39,0)</f>
        <v/>
      </c>
      <c r="Q59" s="18">
        <f>ROUND('Growth Curves'!Q17*Assumptions!B39,0)</f>
        <v/>
      </c>
      <c r="R59" s="18">
        <f>ROUND('Growth Curves'!R17*Assumptions!B39,0)</f>
        <v/>
      </c>
      <c r="S59" s="18">
        <f>ROUND('Growth Curves'!S17*Assumptions!B39,0)</f>
        <v/>
      </c>
      <c r="T59" s="18">
        <f>ROUND('Growth Curves'!T17*Assumptions!B39,0)</f>
        <v/>
      </c>
      <c r="U59" s="18">
        <f>ROUND('Growth Curves'!U17*Assumptions!B39,0)</f>
        <v/>
      </c>
      <c r="V59" s="18">
        <f>ROUND('Growth Curves'!V17*Assumptions!B39,0)</f>
        <v/>
      </c>
      <c r="W59" s="18">
        <f>ROUND('Growth Curves'!W17*Assumptions!B39,0)</f>
        <v/>
      </c>
      <c r="X59" s="18">
        <f>ROUND('Growth Curves'!X17*Assumptions!B39,0)</f>
        <v/>
      </c>
      <c r="Y59" s="18">
        <f>ROUND('Growth Curves'!Y17*Assumptions!B39,0)</f>
        <v/>
      </c>
      <c r="Z59" s="18">
        <f>SUM(B59:Y59)</f>
        <v/>
      </c>
    </row>
    <row r="60">
      <c r="A60" s="17" t="inlineStr">
        <is>
          <t xml:space="preserve">  Refund/Returns Reserve (1.5%)</t>
        </is>
      </c>
      <c r="B60" s="18">
        <f>ROUND((B17+B25+B31)*Assumptions!B40,0)</f>
        <v/>
      </c>
      <c r="C60" s="18">
        <f>ROUND((C17+C25+C31)*Assumptions!B40,0)</f>
        <v/>
      </c>
      <c r="D60" s="18">
        <f>ROUND((D17+D25+D31)*Assumptions!B40,0)</f>
        <v/>
      </c>
      <c r="E60" s="18">
        <f>ROUND((E17+E25+E31)*Assumptions!B40,0)</f>
        <v/>
      </c>
      <c r="F60" s="18">
        <f>ROUND((F17+F25+F31)*Assumptions!B40,0)</f>
        <v/>
      </c>
      <c r="G60" s="18">
        <f>ROUND((G17+G25+G31)*Assumptions!B40,0)</f>
        <v/>
      </c>
      <c r="H60" s="18">
        <f>ROUND((H17+H25+H31)*Assumptions!B40,0)</f>
        <v/>
      </c>
      <c r="I60" s="18">
        <f>ROUND((I17+I25+I31)*Assumptions!B40,0)</f>
        <v/>
      </c>
      <c r="J60" s="18">
        <f>ROUND((J17+J25+J31)*Assumptions!B40,0)</f>
        <v/>
      </c>
      <c r="K60" s="18">
        <f>ROUND((K17+K25+K31)*Assumptions!B40,0)</f>
        <v/>
      </c>
      <c r="L60" s="18">
        <f>ROUND((L17+L25+L31)*Assumptions!B40,0)</f>
        <v/>
      </c>
      <c r="M60" s="18">
        <f>ROUND((M17+M25+M31)*Assumptions!B40,0)</f>
        <v/>
      </c>
      <c r="N60" s="18">
        <f>ROUND((N17+N25+N31)*Assumptions!B40,0)</f>
        <v/>
      </c>
      <c r="O60" s="18">
        <f>ROUND((O17+O25+O31)*Assumptions!B40,0)</f>
        <v/>
      </c>
      <c r="P60" s="18">
        <f>ROUND((P17+P25+P31)*Assumptions!B40,0)</f>
        <v/>
      </c>
      <c r="Q60" s="18">
        <f>ROUND((Q17+Q25+Q31)*Assumptions!B40,0)</f>
        <v/>
      </c>
      <c r="R60" s="18">
        <f>ROUND((R17+R25+R31)*Assumptions!B40,0)</f>
        <v/>
      </c>
      <c r="S60" s="18">
        <f>ROUND((S17+S25+S31)*Assumptions!B40,0)</f>
        <v/>
      </c>
      <c r="T60" s="18">
        <f>ROUND((T17+T25+T31)*Assumptions!B40,0)</f>
        <v/>
      </c>
      <c r="U60" s="18">
        <f>ROUND((U17+U25+U31)*Assumptions!B40,0)</f>
        <v/>
      </c>
      <c r="V60" s="18">
        <f>ROUND((V17+V25+V31)*Assumptions!B40,0)</f>
        <v/>
      </c>
      <c r="W60" s="18">
        <f>ROUND((W17+W25+W31)*Assumptions!B40,0)</f>
        <v/>
      </c>
      <c r="X60" s="18">
        <f>ROUND((X17+X25+X31)*Assumptions!B40,0)</f>
        <v/>
      </c>
      <c r="Y60" s="18">
        <f>ROUND((Y17+Y25+Y31)*Assumptions!B40,0)</f>
        <v/>
      </c>
      <c r="Z60" s="18">
        <f>SUM(B60:Y60)</f>
        <v/>
      </c>
    </row>
    <row r="61">
      <c r="A61" s="17" t="inlineStr">
        <is>
          <t xml:space="preserve">  Bad Debt Provision (0.5%)</t>
        </is>
      </c>
      <c r="B61" s="18">
        <f>ROUND(B47*Assumptions!B41,0)</f>
        <v/>
      </c>
      <c r="C61" s="18">
        <f>ROUND(C47*Assumptions!B41,0)</f>
        <v/>
      </c>
      <c r="D61" s="18">
        <f>ROUND(D47*Assumptions!B41,0)</f>
        <v/>
      </c>
      <c r="E61" s="18">
        <f>ROUND(E47*Assumptions!B41,0)</f>
        <v/>
      </c>
      <c r="F61" s="18">
        <f>ROUND(F47*Assumptions!B41,0)</f>
        <v/>
      </c>
      <c r="G61" s="18">
        <f>ROUND(G47*Assumptions!B41,0)</f>
        <v/>
      </c>
      <c r="H61" s="18">
        <f>ROUND(H47*Assumptions!B41,0)</f>
        <v/>
      </c>
      <c r="I61" s="18">
        <f>ROUND(I47*Assumptions!B41,0)</f>
        <v/>
      </c>
      <c r="J61" s="18">
        <f>ROUND(J47*Assumptions!B41,0)</f>
        <v/>
      </c>
      <c r="K61" s="18">
        <f>ROUND(K47*Assumptions!B41,0)</f>
        <v/>
      </c>
      <c r="L61" s="18">
        <f>ROUND(L47*Assumptions!B41,0)</f>
        <v/>
      </c>
      <c r="M61" s="18">
        <f>ROUND(M47*Assumptions!B41,0)</f>
        <v/>
      </c>
      <c r="N61" s="18">
        <f>ROUND(N47*Assumptions!B41,0)</f>
        <v/>
      </c>
      <c r="O61" s="18">
        <f>ROUND(O47*Assumptions!B41,0)</f>
        <v/>
      </c>
      <c r="P61" s="18">
        <f>ROUND(P47*Assumptions!B41,0)</f>
        <v/>
      </c>
      <c r="Q61" s="18">
        <f>ROUND(Q47*Assumptions!B41,0)</f>
        <v/>
      </c>
      <c r="R61" s="18">
        <f>ROUND(R47*Assumptions!B41,0)</f>
        <v/>
      </c>
      <c r="S61" s="18">
        <f>ROUND(S47*Assumptions!B41,0)</f>
        <v/>
      </c>
      <c r="T61" s="18">
        <f>ROUND(T47*Assumptions!B41,0)</f>
        <v/>
      </c>
      <c r="U61" s="18">
        <f>ROUND(U47*Assumptions!B41,0)</f>
        <v/>
      </c>
      <c r="V61" s="18">
        <f>ROUND(V47*Assumptions!B41,0)</f>
        <v/>
      </c>
      <c r="W61" s="18">
        <f>ROUND(W47*Assumptions!B41,0)</f>
        <v/>
      </c>
      <c r="X61" s="18">
        <f>ROUND(X47*Assumptions!B41,0)</f>
        <v/>
      </c>
      <c r="Y61" s="18">
        <f>ROUND(Y47*Assumptions!B41,0)</f>
        <v/>
      </c>
      <c r="Z61" s="18">
        <f>SUM(B61:Y61)</f>
        <v/>
      </c>
    </row>
    <row r="62">
      <c r="A62" s="17" t="inlineStr">
        <is>
          <t xml:space="preserve">  Stripe Processing (2.9%)</t>
        </is>
      </c>
      <c r="B62" s="18">
        <f>ROUND(B47*Assumptions!B38,0)</f>
        <v/>
      </c>
      <c r="C62" s="18">
        <f>ROUND(C47*Assumptions!B38,0)</f>
        <v/>
      </c>
      <c r="D62" s="18">
        <f>ROUND(D47*Assumptions!B38,0)</f>
        <v/>
      </c>
      <c r="E62" s="18">
        <f>ROUND(E47*Assumptions!B38,0)</f>
        <v/>
      </c>
      <c r="F62" s="18">
        <f>ROUND(F47*Assumptions!B38,0)</f>
        <v/>
      </c>
      <c r="G62" s="18">
        <f>ROUND(G47*Assumptions!B38,0)</f>
        <v/>
      </c>
      <c r="H62" s="18">
        <f>ROUND(H47*Assumptions!B38,0)</f>
        <v/>
      </c>
      <c r="I62" s="18">
        <f>ROUND(I47*Assumptions!B38,0)</f>
        <v/>
      </c>
      <c r="J62" s="18">
        <f>ROUND(J47*Assumptions!B38,0)</f>
        <v/>
      </c>
      <c r="K62" s="18">
        <f>ROUND(K47*Assumptions!B38,0)</f>
        <v/>
      </c>
      <c r="L62" s="18">
        <f>ROUND(L47*Assumptions!B38,0)</f>
        <v/>
      </c>
      <c r="M62" s="18">
        <f>ROUND(M47*Assumptions!B38,0)</f>
        <v/>
      </c>
      <c r="N62" s="18">
        <f>ROUND(N47*Assumptions!B38,0)</f>
        <v/>
      </c>
      <c r="O62" s="18">
        <f>ROUND(O47*Assumptions!B38,0)</f>
        <v/>
      </c>
      <c r="P62" s="18">
        <f>ROUND(P47*Assumptions!B38,0)</f>
        <v/>
      </c>
      <c r="Q62" s="18">
        <f>ROUND(Q47*Assumptions!B38,0)</f>
        <v/>
      </c>
      <c r="R62" s="18">
        <f>ROUND(R47*Assumptions!B38,0)</f>
        <v/>
      </c>
      <c r="S62" s="18">
        <f>ROUND(S47*Assumptions!B38,0)</f>
        <v/>
      </c>
      <c r="T62" s="18">
        <f>ROUND(T47*Assumptions!B38,0)</f>
        <v/>
      </c>
      <c r="U62" s="18">
        <f>ROUND(U47*Assumptions!B38,0)</f>
        <v/>
      </c>
      <c r="V62" s="18">
        <f>ROUND(V47*Assumptions!B38,0)</f>
        <v/>
      </c>
      <c r="W62" s="18">
        <f>ROUND(W47*Assumptions!B38,0)</f>
        <v/>
      </c>
      <c r="X62" s="18">
        <f>ROUND(X47*Assumptions!B38,0)</f>
        <v/>
      </c>
      <c r="Y62" s="18">
        <f>ROUND(Y47*Assumptions!B38,0)</f>
        <v/>
      </c>
      <c r="Z62" s="18">
        <f>SUM(B62:Y62)</f>
        <v/>
      </c>
    </row>
    <row r="64">
      <c r="A64" s="19" t="inlineStr">
        <is>
          <t>TOTAL COGS</t>
        </is>
      </c>
      <c r="B64" s="20">
        <f>B51+B52+B53+B54+B56+B57+B58+B59+B60+B61+B62</f>
        <v/>
      </c>
      <c r="C64" s="20">
        <f>C51+C52+C53+C54+C56+C57+C58+C59+C60+C61+C62</f>
        <v/>
      </c>
      <c r="D64" s="20">
        <f>D51+D52+D53+D54+D56+D57+D58+D59+D60+D61+D62</f>
        <v/>
      </c>
      <c r="E64" s="20">
        <f>E51+E52+E53+E54+E56+E57+E58+E59+E60+E61+E62</f>
        <v/>
      </c>
      <c r="F64" s="20">
        <f>F51+F52+F53+F54+F56+F57+F58+F59+F60+F61+F62</f>
        <v/>
      </c>
      <c r="G64" s="20">
        <f>G51+G52+G53+G54+G56+G57+G58+G59+G60+G61+G62</f>
        <v/>
      </c>
      <c r="H64" s="20">
        <f>H51+H52+H53+H54+H56+H57+H58+H59+H60+H61+H62</f>
        <v/>
      </c>
      <c r="I64" s="20">
        <f>I51+I52+I53+I54+I56+I57+I58+I59+I60+I61+I62</f>
        <v/>
      </c>
      <c r="J64" s="20">
        <f>J51+J52+J53+J54+J56+J57+J58+J59+J60+J61+J62</f>
        <v/>
      </c>
      <c r="K64" s="20">
        <f>K51+K52+K53+K54+K56+K57+K58+K59+K60+K61+K62</f>
        <v/>
      </c>
      <c r="L64" s="20">
        <f>L51+L52+L53+L54+L56+L57+L58+L59+L60+L61+L62</f>
        <v/>
      </c>
      <c r="M64" s="20">
        <f>M51+M52+M53+M54+M56+M57+M58+M59+M60+M61+M62</f>
        <v/>
      </c>
      <c r="N64" s="20">
        <f>N51+N52+N53+N54+N56+N57+N58+N59+N60+N61+N62</f>
        <v/>
      </c>
      <c r="O64" s="20">
        <f>O51+O52+O53+O54+O56+O57+O58+O59+O60+O61+O62</f>
        <v/>
      </c>
      <c r="P64" s="20">
        <f>P51+P52+P53+P54+P56+P57+P58+P59+P60+P61+P62</f>
        <v/>
      </c>
      <c r="Q64" s="20">
        <f>Q51+Q52+Q53+Q54+Q56+Q57+Q58+Q59+Q60+Q61+Q62</f>
        <v/>
      </c>
      <c r="R64" s="20">
        <f>R51+R52+R53+R54+R56+R57+R58+R59+R60+R61+R62</f>
        <v/>
      </c>
      <c r="S64" s="20">
        <f>S51+S52+S53+S54+S56+S57+S58+S59+S60+S61+S62</f>
        <v/>
      </c>
      <c r="T64" s="20">
        <f>T51+T52+T53+T54+T56+T57+T58+T59+T60+T61+T62</f>
        <v/>
      </c>
      <c r="U64" s="20">
        <f>U51+U52+U53+U54+U56+U57+U58+U59+U60+U61+U62</f>
        <v/>
      </c>
      <c r="V64" s="20">
        <f>V51+V52+V53+V54+V56+V57+V58+V59+V60+V61+V62</f>
        <v/>
      </c>
      <c r="W64" s="20">
        <f>W51+W52+W53+W54+W56+W57+W58+W59+W60+W61+W62</f>
        <v/>
      </c>
      <c r="X64" s="20">
        <f>X51+X52+X53+X54+X56+X57+X58+X59+X60+X61+X62</f>
        <v/>
      </c>
      <c r="Y64" s="20">
        <f>Y51+Y52+Y53+Y54+Y56+Y57+Y58+Y59+Y60+Y61+Y62</f>
        <v/>
      </c>
      <c r="Z64" s="20">
        <f>SUM(B64:Y64)</f>
        <v/>
      </c>
    </row>
    <row r="66">
      <c r="A66" s="19" t="inlineStr">
        <is>
          <t>GROSS PROFIT</t>
        </is>
      </c>
      <c r="B66" s="20">
        <f>B47-B64</f>
        <v/>
      </c>
      <c r="C66" s="20">
        <f>C47-C64</f>
        <v/>
      </c>
      <c r="D66" s="20">
        <f>D47-D64</f>
        <v/>
      </c>
      <c r="E66" s="20">
        <f>E47-E64</f>
        <v/>
      </c>
      <c r="F66" s="20">
        <f>F47-F64</f>
        <v/>
      </c>
      <c r="G66" s="20">
        <f>G47-G64</f>
        <v/>
      </c>
      <c r="H66" s="20">
        <f>H47-H64</f>
        <v/>
      </c>
      <c r="I66" s="20">
        <f>I47-I64</f>
        <v/>
      </c>
      <c r="J66" s="20">
        <f>J47-J64</f>
        <v/>
      </c>
      <c r="K66" s="20">
        <f>K47-K64</f>
        <v/>
      </c>
      <c r="L66" s="20">
        <f>L47-L64</f>
        <v/>
      </c>
      <c r="M66" s="20">
        <f>M47-M64</f>
        <v/>
      </c>
      <c r="N66" s="20">
        <f>N47-N64</f>
        <v/>
      </c>
      <c r="O66" s="20">
        <f>O47-O64</f>
        <v/>
      </c>
      <c r="P66" s="20">
        <f>P47-P64</f>
        <v/>
      </c>
      <c r="Q66" s="20">
        <f>Q47-Q64</f>
        <v/>
      </c>
      <c r="R66" s="20">
        <f>R47-R64</f>
        <v/>
      </c>
      <c r="S66" s="20">
        <f>S47-S64</f>
        <v/>
      </c>
      <c r="T66" s="20">
        <f>T47-T64</f>
        <v/>
      </c>
      <c r="U66" s="20">
        <f>U47-U64</f>
        <v/>
      </c>
      <c r="V66" s="20">
        <f>V47-V64</f>
        <v/>
      </c>
      <c r="W66" s="20">
        <f>W47-W64</f>
        <v/>
      </c>
      <c r="X66" s="20">
        <f>X47-X64</f>
        <v/>
      </c>
      <c r="Y66" s="20">
        <f>Y47-Y64</f>
        <v/>
      </c>
      <c r="Z66" s="20">
        <f>SUM(B66:Y66)</f>
        <v/>
      </c>
    </row>
    <row r="67">
      <c r="A67" s="5" t="inlineStr">
        <is>
          <t xml:space="preserve">  Gross Margin %</t>
        </is>
      </c>
      <c r="B67" s="21">
        <f>IF(B47&gt;0,B66/B47,0)</f>
        <v/>
      </c>
      <c r="C67" s="21">
        <f>IF(C47&gt;0,C66/C47,0)</f>
        <v/>
      </c>
      <c r="D67" s="21">
        <f>IF(D47&gt;0,D66/D47,0)</f>
        <v/>
      </c>
      <c r="E67" s="21">
        <f>IF(E47&gt;0,E66/E47,0)</f>
        <v/>
      </c>
      <c r="F67" s="21">
        <f>IF(F47&gt;0,F66/F47,0)</f>
        <v/>
      </c>
      <c r="G67" s="21">
        <f>IF(G47&gt;0,G66/G47,0)</f>
        <v/>
      </c>
      <c r="H67" s="21">
        <f>IF(H47&gt;0,H66/H47,0)</f>
        <v/>
      </c>
      <c r="I67" s="21">
        <f>IF(I47&gt;0,I66/I47,0)</f>
        <v/>
      </c>
      <c r="J67" s="21">
        <f>IF(J47&gt;0,J66/J47,0)</f>
        <v/>
      </c>
      <c r="K67" s="21">
        <f>IF(K47&gt;0,K66/K47,0)</f>
        <v/>
      </c>
      <c r="L67" s="21">
        <f>IF(L47&gt;0,L66/L47,0)</f>
        <v/>
      </c>
      <c r="M67" s="21">
        <f>IF(M47&gt;0,M66/M47,0)</f>
        <v/>
      </c>
      <c r="N67" s="21">
        <f>IF(N47&gt;0,N66/N47,0)</f>
        <v/>
      </c>
      <c r="O67" s="21">
        <f>IF(O47&gt;0,O66/O47,0)</f>
        <v/>
      </c>
      <c r="P67" s="21">
        <f>IF(P47&gt;0,P66/P47,0)</f>
        <v/>
      </c>
      <c r="Q67" s="21">
        <f>IF(Q47&gt;0,Q66/Q47,0)</f>
        <v/>
      </c>
      <c r="R67" s="21">
        <f>IF(R47&gt;0,R66/R47,0)</f>
        <v/>
      </c>
      <c r="S67" s="21">
        <f>IF(S47&gt;0,S66/S47,0)</f>
        <v/>
      </c>
      <c r="T67" s="21">
        <f>IF(T47&gt;0,T66/T47,0)</f>
        <v/>
      </c>
      <c r="U67" s="21">
        <f>IF(U47&gt;0,U66/U47,0)</f>
        <v/>
      </c>
      <c r="V67" s="21">
        <f>IF(V47&gt;0,V66/V47,0)</f>
        <v/>
      </c>
      <c r="W67" s="21">
        <f>IF(W47&gt;0,W66/W47,0)</f>
        <v/>
      </c>
      <c r="X67" s="21">
        <f>IF(X47&gt;0,X66/X47,0)</f>
        <v/>
      </c>
      <c r="Y67" s="21">
        <f>IF(Y47&gt;0,Y66/Y47,0)</f>
        <v/>
      </c>
      <c r="Z67" s="21">
        <f>IF(Z47&gt;0,Z66/Z47,0)</f>
        <v/>
      </c>
    </row>
    <row r="69">
      <c r="A69" s="4" t="inlineStr">
        <is>
          <t>OPERATING EXPENSES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9" t="inlineStr">
        <is>
          <t xml:space="preserve">  Payroll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>
      <c r="A71" s="17" t="inlineStr">
        <is>
          <t xml:space="preserve">    Timu (CEO)</t>
        </is>
      </c>
      <c r="B71" s="18">
        <f>ROUND(Assumptions!B44*Assumptions!B45,0)</f>
        <v/>
      </c>
      <c r="C71" s="18">
        <f>ROUND(Assumptions!B44*Assumptions!B45,0)</f>
        <v/>
      </c>
      <c r="D71" s="18">
        <f>ROUND(Assumptions!B44*Assumptions!B45,0)</f>
        <v/>
      </c>
      <c r="E71" s="18">
        <f>ROUND(Assumptions!B44*Assumptions!B45,0)</f>
        <v/>
      </c>
      <c r="F71" s="18">
        <f>ROUND(Assumptions!B44*Assumptions!B45,0)</f>
        <v/>
      </c>
      <c r="G71" s="18">
        <f>ROUND(Assumptions!B44*Assumptions!B45,0)</f>
        <v/>
      </c>
      <c r="H71" s="18">
        <f>ROUND(Assumptions!B44*Assumptions!B45,0)</f>
        <v/>
      </c>
      <c r="I71" s="18">
        <f>ROUND(Assumptions!B44*Assumptions!B45,0)</f>
        <v/>
      </c>
      <c r="J71" s="18">
        <f>ROUND(Assumptions!B44*Assumptions!B45,0)</f>
        <v/>
      </c>
      <c r="K71" s="18">
        <f>ROUND(Assumptions!B44*Assumptions!B45,0)</f>
        <v/>
      </c>
      <c r="L71" s="18">
        <f>ROUND(Assumptions!B44*Assumptions!B45,0)</f>
        <v/>
      </c>
      <c r="M71" s="18">
        <f>ROUND(Assumptions!B44*Assumptions!B45,0)</f>
        <v/>
      </c>
      <c r="N71" s="18">
        <f>ROUND(Assumptions!B44*Assumptions!B45,0)</f>
        <v/>
      </c>
      <c r="O71" s="18">
        <f>ROUND(Assumptions!B44*Assumptions!B45,0)</f>
        <v/>
      </c>
      <c r="P71" s="18">
        <f>ROUND(Assumptions!B44*Assumptions!B45,0)</f>
        <v/>
      </c>
      <c r="Q71" s="18">
        <f>ROUND(Assumptions!B44*Assumptions!B45,0)</f>
        <v/>
      </c>
      <c r="R71" s="18">
        <f>ROUND(Assumptions!B44*Assumptions!B45,0)</f>
        <v/>
      </c>
      <c r="S71" s="18">
        <f>ROUND(Assumptions!B44*Assumptions!B45,0)</f>
        <v/>
      </c>
      <c r="T71" s="18">
        <f>ROUND(Assumptions!B44*Assumptions!B45,0)</f>
        <v/>
      </c>
      <c r="U71" s="18">
        <f>ROUND(Assumptions!B44*Assumptions!B45,0)</f>
        <v/>
      </c>
      <c r="V71" s="18">
        <f>ROUND(Assumptions!B44*Assumptions!B45,0)</f>
        <v/>
      </c>
      <c r="W71" s="18">
        <f>ROUND(Assumptions!B44*Assumptions!B45,0)</f>
        <v/>
      </c>
      <c r="X71" s="18">
        <f>ROUND(Assumptions!B44*Assumptions!B45,0)</f>
        <v/>
      </c>
      <c r="Y71" s="18">
        <f>ROUND(Assumptions!B44*Assumptions!B45,0)</f>
        <v/>
      </c>
      <c r="Z71" s="18">
        <f>SUM(B71:Y71)</f>
        <v/>
      </c>
    </row>
    <row r="72">
      <c r="A72" s="17" t="inlineStr">
        <is>
          <t xml:space="preserve">    Daria (COO)</t>
        </is>
      </c>
      <c r="B72" s="18">
        <f>ROUND(Assumptions!B44*Assumptions!B45,0)</f>
        <v/>
      </c>
      <c r="C72" s="18">
        <f>ROUND(Assumptions!B44*Assumptions!B45,0)</f>
        <v/>
      </c>
      <c r="D72" s="18">
        <f>ROUND(Assumptions!B44*Assumptions!B45,0)</f>
        <v/>
      </c>
      <c r="E72" s="18">
        <f>ROUND(Assumptions!B44*Assumptions!B45,0)</f>
        <v/>
      </c>
      <c r="F72" s="18">
        <f>ROUND(Assumptions!B44*Assumptions!B45,0)</f>
        <v/>
      </c>
      <c r="G72" s="18">
        <f>ROUND(Assumptions!B44*Assumptions!B45,0)</f>
        <v/>
      </c>
      <c r="H72" s="18">
        <f>ROUND(Assumptions!B44*Assumptions!B45,0)</f>
        <v/>
      </c>
      <c r="I72" s="18">
        <f>ROUND(Assumptions!B44*Assumptions!B45,0)</f>
        <v/>
      </c>
      <c r="J72" s="18">
        <f>ROUND(Assumptions!B44*Assumptions!B45,0)</f>
        <v/>
      </c>
      <c r="K72" s="18">
        <f>ROUND(Assumptions!B44*Assumptions!B45,0)</f>
        <v/>
      </c>
      <c r="L72" s="18">
        <f>ROUND(Assumptions!B44*Assumptions!B45,0)</f>
        <v/>
      </c>
      <c r="M72" s="18">
        <f>ROUND(Assumptions!B44*Assumptions!B45,0)</f>
        <v/>
      </c>
      <c r="N72" s="18">
        <f>ROUND(Assumptions!B44*Assumptions!B45,0)</f>
        <v/>
      </c>
      <c r="O72" s="18">
        <f>ROUND(Assumptions!B44*Assumptions!B45,0)</f>
        <v/>
      </c>
      <c r="P72" s="18">
        <f>ROUND(Assumptions!B44*Assumptions!B45,0)</f>
        <v/>
      </c>
      <c r="Q72" s="18">
        <f>ROUND(Assumptions!B44*Assumptions!B45,0)</f>
        <v/>
      </c>
      <c r="R72" s="18">
        <f>ROUND(Assumptions!B44*Assumptions!B45,0)</f>
        <v/>
      </c>
      <c r="S72" s="18">
        <f>ROUND(Assumptions!B44*Assumptions!B45,0)</f>
        <v/>
      </c>
      <c r="T72" s="18">
        <f>ROUND(Assumptions!B44*Assumptions!B45,0)</f>
        <v/>
      </c>
      <c r="U72" s="18">
        <f>ROUND(Assumptions!B44*Assumptions!B45,0)</f>
        <v/>
      </c>
      <c r="V72" s="18">
        <f>ROUND(Assumptions!B44*Assumptions!B45,0)</f>
        <v/>
      </c>
      <c r="W72" s="18">
        <f>ROUND(Assumptions!B44*Assumptions!B45,0)</f>
        <v/>
      </c>
      <c r="X72" s="18">
        <f>ROUND(Assumptions!B44*Assumptions!B45,0)</f>
        <v/>
      </c>
      <c r="Y72" s="18">
        <f>ROUND(Assumptions!B44*Assumptions!B45,0)</f>
        <v/>
      </c>
      <c r="Z72" s="18">
        <f>SUM(B72:Y72)</f>
        <v/>
      </c>
    </row>
    <row r="73">
      <c r="A73" s="17" t="inlineStr">
        <is>
          <t xml:space="preserve">    Space Staff (M4+)</t>
        </is>
      </c>
      <c r="B73" s="18">
        <f>IF(1&gt;=4,ROUND(Assumptions!B46*Assumptions!B45,0),0)</f>
        <v/>
      </c>
      <c r="C73" s="18">
        <f>IF(2&gt;=4,ROUND(Assumptions!B46*Assumptions!B45,0),0)</f>
        <v/>
      </c>
      <c r="D73" s="18">
        <f>IF(3&gt;=4,ROUND(Assumptions!B46*Assumptions!B45,0),0)</f>
        <v/>
      </c>
      <c r="E73" s="18">
        <f>IF(4&gt;=4,ROUND(Assumptions!B46*Assumptions!B45,0),0)</f>
        <v/>
      </c>
      <c r="F73" s="18">
        <f>IF(5&gt;=4,ROUND(Assumptions!B46*Assumptions!B45,0),0)</f>
        <v/>
      </c>
      <c r="G73" s="18">
        <f>IF(6&gt;=4,ROUND(Assumptions!B46*Assumptions!B45,0),0)</f>
        <v/>
      </c>
      <c r="H73" s="18">
        <f>IF(7&gt;=4,ROUND(Assumptions!B46*Assumptions!B45,0),0)</f>
        <v/>
      </c>
      <c r="I73" s="18">
        <f>IF(8&gt;=4,ROUND(Assumptions!B46*Assumptions!B45,0),0)</f>
        <v/>
      </c>
      <c r="J73" s="18">
        <f>IF(9&gt;=4,ROUND(Assumptions!B46*Assumptions!B45,0),0)</f>
        <v/>
      </c>
      <c r="K73" s="18">
        <f>IF(10&gt;=4,ROUND(Assumptions!B46*Assumptions!B45,0),0)</f>
        <v/>
      </c>
      <c r="L73" s="18">
        <f>IF(11&gt;=4,ROUND(Assumptions!B46*Assumptions!B45,0),0)</f>
        <v/>
      </c>
      <c r="M73" s="18">
        <f>IF(12&gt;=4,ROUND(Assumptions!B46*Assumptions!B45,0),0)</f>
        <v/>
      </c>
      <c r="N73" s="18">
        <f>IF(13&gt;=4,ROUND(Assumptions!B46*Assumptions!B45,0),0)</f>
        <v/>
      </c>
      <c r="O73" s="18">
        <f>IF(14&gt;=4,ROUND(Assumptions!B46*Assumptions!B45,0),0)</f>
        <v/>
      </c>
      <c r="P73" s="18">
        <f>IF(15&gt;=4,ROUND(Assumptions!B46*Assumptions!B45,0),0)</f>
        <v/>
      </c>
      <c r="Q73" s="18">
        <f>IF(16&gt;=4,ROUND(Assumptions!B46*Assumptions!B45,0),0)</f>
        <v/>
      </c>
      <c r="R73" s="18">
        <f>IF(17&gt;=4,ROUND(Assumptions!B46*Assumptions!B45,0),0)</f>
        <v/>
      </c>
      <c r="S73" s="18">
        <f>IF(18&gt;=4,ROUND(Assumptions!B46*Assumptions!B45,0),0)</f>
        <v/>
      </c>
      <c r="T73" s="18">
        <f>IF(19&gt;=4,ROUND(Assumptions!B46*Assumptions!B45,0),0)</f>
        <v/>
      </c>
      <c r="U73" s="18">
        <f>IF(20&gt;=4,ROUND(Assumptions!B46*Assumptions!B45,0),0)</f>
        <v/>
      </c>
      <c r="V73" s="18">
        <f>IF(21&gt;=4,ROUND(Assumptions!B46*Assumptions!B45,0),0)</f>
        <v/>
      </c>
      <c r="W73" s="18">
        <f>IF(22&gt;=4,ROUND(Assumptions!B46*Assumptions!B45,0),0)</f>
        <v/>
      </c>
      <c r="X73" s="18">
        <f>IF(23&gt;=4,ROUND(Assumptions!B46*Assumptions!B45,0),0)</f>
        <v/>
      </c>
      <c r="Y73" s="18">
        <f>IF(24&gt;=4,ROUND(Assumptions!B46*Assumptions!B45,0),0)</f>
        <v/>
      </c>
      <c r="Z73" s="18">
        <f>SUM(B73:Y73)</f>
        <v/>
      </c>
    </row>
    <row r="74">
      <c r="A74" s="17" t="inlineStr">
        <is>
          <t xml:space="preserve">    Partner Mgr (M6+)</t>
        </is>
      </c>
      <c r="B74" s="18">
        <f>IF(1&gt;=6,ROUND(Assumptions!B47*Assumptions!B45,0),0)</f>
        <v/>
      </c>
      <c r="C74" s="18">
        <f>IF(2&gt;=6,ROUND(Assumptions!B47*Assumptions!B45,0),0)</f>
        <v/>
      </c>
      <c r="D74" s="18">
        <f>IF(3&gt;=6,ROUND(Assumptions!B47*Assumptions!B45,0),0)</f>
        <v/>
      </c>
      <c r="E74" s="18">
        <f>IF(4&gt;=6,ROUND(Assumptions!B47*Assumptions!B45,0),0)</f>
        <v/>
      </c>
      <c r="F74" s="18">
        <f>IF(5&gt;=6,ROUND(Assumptions!B47*Assumptions!B45,0),0)</f>
        <v/>
      </c>
      <c r="G74" s="18">
        <f>IF(6&gt;=6,ROUND(Assumptions!B47*Assumptions!B45,0),0)</f>
        <v/>
      </c>
      <c r="H74" s="18">
        <f>IF(7&gt;=6,ROUND(Assumptions!B47*Assumptions!B45,0),0)</f>
        <v/>
      </c>
      <c r="I74" s="18">
        <f>IF(8&gt;=6,ROUND(Assumptions!B47*Assumptions!B45,0),0)</f>
        <v/>
      </c>
      <c r="J74" s="18">
        <f>IF(9&gt;=6,ROUND(Assumptions!B47*Assumptions!B45,0),0)</f>
        <v/>
      </c>
      <c r="K74" s="18">
        <f>IF(10&gt;=6,ROUND(Assumptions!B47*Assumptions!B45,0),0)</f>
        <v/>
      </c>
      <c r="L74" s="18">
        <f>IF(11&gt;=6,ROUND(Assumptions!B47*Assumptions!B45,0),0)</f>
        <v/>
      </c>
      <c r="M74" s="18">
        <f>IF(12&gt;=6,ROUND(Assumptions!B47*Assumptions!B45,0),0)</f>
        <v/>
      </c>
      <c r="N74" s="18">
        <f>IF(13&gt;=6,ROUND(Assumptions!B47*Assumptions!B45,0),0)</f>
        <v/>
      </c>
      <c r="O74" s="18">
        <f>IF(14&gt;=6,ROUND(Assumptions!B47*Assumptions!B45,0),0)</f>
        <v/>
      </c>
      <c r="P74" s="18">
        <f>IF(15&gt;=6,ROUND(Assumptions!B47*Assumptions!B45,0),0)</f>
        <v/>
      </c>
      <c r="Q74" s="18">
        <f>IF(16&gt;=6,ROUND(Assumptions!B47*Assumptions!B45,0),0)</f>
        <v/>
      </c>
      <c r="R74" s="18">
        <f>IF(17&gt;=6,ROUND(Assumptions!B47*Assumptions!B45,0),0)</f>
        <v/>
      </c>
      <c r="S74" s="18">
        <f>IF(18&gt;=6,ROUND(Assumptions!B47*Assumptions!B45,0),0)</f>
        <v/>
      </c>
      <c r="T74" s="18">
        <f>IF(19&gt;=6,ROUND(Assumptions!B47*Assumptions!B45,0),0)</f>
        <v/>
      </c>
      <c r="U74" s="18">
        <f>IF(20&gt;=6,ROUND(Assumptions!B47*Assumptions!B45,0),0)</f>
        <v/>
      </c>
      <c r="V74" s="18">
        <f>IF(21&gt;=6,ROUND(Assumptions!B47*Assumptions!B45,0),0)</f>
        <v/>
      </c>
      <c r="W74" s="18">
        <f>IF(22&gt;=6,ROUND(Assumptions!B47*Assumptions!B45,0),0)</f>
        <v/>
      </c>
      <c r="X74" s="18">
        <f>IF(23&gt;=6,ROUND(Assumptions!B47*Assumptions!B45,0),0)</f>
        <v/>
      </c>
      <c r="Y74" s="18">
        <f>IF(24&gt;=6,ROUND(Assumptions!B47*Assumptions!B45,0),0)</f>
        <v/>
      </c>
      <c r="Z74" s="18">
        <f>SUM(B74:Y74)</f>
        <v/>
      </c>
    </row>
    <row r="75">
      <c r="A75" s="17" t="inlineStr">
        <is>
          <t xml:space="preserve">    CTO (M18+)</t>
        </is>
      </c>
      <c r="B75" s="18">
        <f>IF(1&gt;=18,ROUND(Assumptions!B48*Assumptions!B45,0),0)</f>
        <v/>
      </c>
      <c r="C75" s="18">
        <f>IF(2&gt;=18,ROUND(Assumptions!B48*Assumptions!B45,0),0)</f>
        <v/>
      </c>
      <c r="D75" s="18">
        <f>IF(3&gt;=18,ROUND(Assumptions!B48*Assumptions!B45,0),0)</f>
        <v/>
      </c>
      <c r="E75" s="18">
        <f>IF(4&gt;=18,ROUND(Assumptions!B48*Assumptions!B45,0),0)</f>
        <v/>
      </c>
      <c r="F75" s="18">
        <f>IF(5&gt;=18,ROUND(Assumptions!B48*Assumptions!B45,0),0)</f>
        <v/>
      </c>
      <c r="G75" s="18">
        <f>IF(6&gt;=18,ROUND(Assumptions!B48*Assumptions!B45,0),0)</f>
        <v/>
      </c>
      <c r="H75" s="18">
        <f>IF(7&gt;=18,ROUND(Assumptions!B48*Assumptions!B45,0),0)</f>
        <v/>
      </c>
      <c r="I75" s="18">
        <f>IF(8&gt;=18,ROUND(Assumptions!B48*Assumptions!B45,0),0)</f>
        <v/>
      </c>
      <c r="J75" s="18">
        <f>IF(9&gt;=18,ROUND(Assumptions!B48*Assumptions!B45,0),0)</f>
        <v/>
      </c>
      <c r="K75" s="18">
        <f>IF(10&gt;=18,ROUND(Assumptions!B48*Assumptions!B45,0),0)</f>
        <v/>
      </c>
      <c r="L75" s="18">
        <f>IF(11&gt;=18,ROUND(Assumptions!B48*Assumptions!B45,0),0)</f>
        <v/>
      </c>
      <c r="M75" s="18">
        <f>IF(12&gt;=18,ROUND(Assumptions!B48*Assumptions!B45,0),0)</f>
        <v/>
      </c>
      <c r="N75" s="18">
        <f>IF(13&gt;=18,ROUND(Assumptions!B48*Assumptions!B45,0),0)</f>
        <v/>
      </c>
      <c r="O75" s="18">
        <f>IF(14&gt;=18,ROUND(Assumptions!B48*Assumptions!B45,0),0)</f>
        <v/>
      </c>
      <c r="P75" s="18">
        <f>IF(15&gt;=18,ROUND(Assumptions!B48*Assumptions!B45,0),0)</f>
        <v/>
      </c>
      <c r="Q75" s="18">
        <f>IF(16&gt;=18,ROUND(Assumptions!B48*Assumptions!B45,0),0)</f>
        <v/>
      </c>
      <c r="R75" s="18">
        <f>IF(17&gt;=18,ROUND(Assumptions!B48*Assumptions!B45,0),0)</f>
        <v/>
      </c>
      <c r="S75" s="18">
        <f>IF(18&gt;=18,ROUND(Assumptions!B48*Assumptions!B45,0),0)</f>
        <v/>
      </c>
      <c r="T75" s="18">
        <f>IF(19&gt;=18,ROUND(Assumptions!B48*Assumptions!B45,0),0)</f>
        <v/>
      </c>
      <c r="U75" s="18">
        <f>IF(20&gt;=18,ROUND(Assumptions!B48*Assumptions!B45,0),0)</f>
        <v/>
      </c>
      <c r="V75" s="18">
        <f>IF(21&gt;=18,ROUND(Assumptions!B48*Assumptions!B45,0),0)</f>
        <v/>
      </c>
      <c r="W75" s="18">
        <f>IF(22&gt;=18,ROUND(Assumptions!B48*Assumptions!B45,0),0)</f>
        <v/>
      </c>
      <c r="X75" s="18">
        <f>IF(23&gt;=18,ROUND(Assumptions!B48*Assumptions!B45,0),0)</f>
        <v/>
      </c>
      <c r="Y75" s="18">
        <f>IF(24&gt;=18,ROUND(Assumptions!B48*Assumptions!B45,0),0)</f>
        <v/>
      </c>
      <c r="Z75" s="18">
        <f>SUM(B75:Y75)</f>
        <v/>
      </c>
    </row>
    <row r="76">
      <c r="A76" s="17" t="inlineStr">
        <is>
          <t xml:space="preserve">    BG Insurance (0.5% payroll)</t>
        </is>
      </c>
      <c r="B76" s="18">
        <f>ROUND((B71+B72+B73+B74+B75)*Assumptions!B49,0)</f>
        <v/>
      </c>
      <c r="C76" s="18">
        <f>ROUND((C71+C72+C73+C74+C75)*Assumptions!B49,0)</f>
        <v/>
      </c>
      <c r="D76" s="18">
        <f>ROUND((D71+D72+D73+D74+D75)*Assumptions!B49,0)</f>
        <v/>
      </c>
      <c r="E76" s="18">
        <f>ROUND((E71+E72+E73+E74+E75)*Assumptions!B49,0)</f>
        <v/>
      </c>
      <c r="F76" s="18">
        <f>ROUND((F71+F72+F73+F74+F75)*Assumptions!B49,0)</f>
        <v/>
      </c>
      <c r="G76" s="18">
        <f>ROUND((G71+G72+G73+G74+G75)*Assumptions!B49,0)</f>
        <v/>
      </c>
      <c r="H76" s="18">
        <f>ROUND((H71+H72+H73+H74+H75)*Assumptions!B49,0)</f>
        <v/>
      </c>
      <c r="I76" s="18">
        <f>ROUND((I71+I72+I73+I74+I75)*Assumptions!B49,0)</f>
        <v/>
      </c>
      <c r="J76" s="18">
        <f>ROUND((J71+J72+J73+J74+J75)*Assumptions!B49,0)</f>
        <v/>
      </c>
      <c r="K76" s="18">
        <f>ROUND((K71+K72+K73+K74+K75)*Assumptions!B49,0)</f>
        <v/>
      </c>
      <c r="L76" s="18">
        <f>ROUND((L71+L72+L73+L74+L75)*Assumptions!B49,0)</f>
        <v/>
      </c>
      <c r="M76" s="18">
        <f>ROUND((M71+M72+M73+M74+M75)*Assumptions!B49,0)</f>
        <v/>
      </c>
      <c r="N76" s="18">
        <f>ROUND((N71+N72+N73+N74+N75)*Assumptions!B49,0)</f>
        <v/>
      </c>
      <c r="O76" s="18">
        <f>ROUND((O71+O72+O73+O74+O75)*Assumptions!B49,0)</f>
        <v/>
      </c>
      <c r="P76" s="18">
        <f>ROUND((P71+P72+P73+P74+P75)*Assumptions!B49,0)</f>
        <v/>
      </c>
      <c r="Q76" s="18">
        <f>ROUND((Q71+Q72+Q73+Q74+Q75)*Assumptions!B49,0)</f>
        <v/>
      </c>
      <c r="R76" s="18">
        <f>ROUND((R71+R72+R73+R74+R75)*Assumptions!B49,0)</f>
        <v/>
      </c>
      <c r="S76" s="18">
        <f>ROUND((S71+S72+S73+S74+S75)*Assumptions!B49,0)</f>
        <v/>
      </c>
      <c r="T76" s="18">
        <f>ROUND((T71+T72+T73+T74+T75)*Assumptions!B49,0)</f>
        <v/>
      </c>
      <c r="U76" s="18">
        <f>ROUND((U71+U72+U73+U74+U75)*Assumptions!B49,0)</f>
        <v/>
      </c>
      <c r="V76" s="18">
        <f>ROUND((V71+V72+V73+V74+V75)*Assumptions!B49,0)</f>
        <v/>
      </c>
      <c r="W76" s="18">
        <f>ROUND((W71+W72+W73+W74+W75)*Assumptions!B49,0)</f>
        <v/>
      </c>
      <c r="X76" s="18">
        <f>ROUND((X71+X72+X73+X74+X75)*Assumptions!B49,0)</f>
        <v/>
      </c>
      <c r="Y76" s="18">
        <f>ROUND((Y71+Y72+Y73+Y74+Y75)*Assumptions!B49,0)</f>
        <v/>
      </c>
      <c r="Z76" s="18">
        <f>SUM(B76:Y76)</f>
        <v/>
      </c>
    </row>
    <row r="77">
      <c r="A77" s="17" t="inlineStr">
        <is>
          <t xml:space="preserve">    KSK Levy (4.9% on freelancers)</t>
        </is>
      </c>
      <c r="B77" s="18">
        <f>ROUND('Growth Curves'!B11*Assumptions!B50,0)</f>
        <v/>
      </c>
      <c r="C77" s="18">
        <f>ROUND('Growth Curves'!C11*Assumptions!B50,0)</f>
        <v/>
      </c>
      <c r="D77" s="18">
        <f>ROUND('Growth Curves'!D11*Assumptions!B50,0)</f>
        <v/>
      </c>
      <c r="E77" s="18">
        <f>ROUND('Growth Curves'!E11*Assumptions!B50,0)</f>
        <v/>
      </c>
      <c r="F77" s="18">
        <f>ROUND('Growth Curves'!F11*Assumptions!B50,0)</f>
        <v/>
      </c>
      <c r="G77" s="18">
        <f>ROUND('Growth Curves'!G11*Assumptions!B50,0)</f>
        <v/>
      </c>
      <c r="H77" s="18">
        <f>ROUND('Growth Curves'!H11*Assumptions!B50,0)</f>
        <v/>
      </c>
      <c r="I77" s="18">
        <f>ROUND('Growth Curves'!I11*Assumptions!B50,0)</f>
        <v/>
      </c>
      <c r="J77" s="18">
        <f>ROUND('Growth Curves'!J11*Assumptions!B50,0)</f>
        <v/>
      </c>
      <c r="K77" s="18">
        <f>ROUND('Growth Curves'!K11*Assumptions!B50,0)</f>
        <v/>
      </c>
      <c r="L77" s="18">
        <f>ROUND('Growth Curves'!L11*Assumptions!B50,0)</f>
        <v/>
      </c>
      <c r="M77" s="18">
        <f>ROUND('Growth Curves'!M11*Assumptions!B50,0)</f>
        <v/>
      </c>
      <c r="N77" s="18">
        <f>ROUND('Growth Curves'!N11*Assumptions!B50,0)</f>
        <v/>
      </c>
      <c r="O77" s="18">
        <f>ROUND('Growth Curves'!O11*Assumptions!B50,0)</f>
        <v/>
      </c>
      <c r="P77" s="18">
        <f>ROUND('Growth Curves'!P11*Assumptions!B50,0)</f>
        <v/>
      </c>
      <c r="Q77" s="18">
        <f>ROUND('Growth Curves'!Q11*Assumptions!B50,0)</f>
        <v/>
      </c>
      <c r="R77" s="18">
        <f>ROUND('Growth Curves'!R11*Assumptions!B50,0)</f>
        <v/>
      </c>
      <c r="S77" s="18">
        <f>ROUND('Growth Curves'!S11*Assumptions!B50,0)</f>
        <v/>
      </c>
      <c r="T77" s="18">
        <f>ROUND('Growth Curves'!T11*Assumptions!B50,0)</f>
        <v/>
      </c>
      <c r="U77" s="18">
        <f>ROUND('Growth Curves'!U11*Assumptions!B50,0)</f>
        <v/>
      </c>
      <c r="V77" s="18">
        <f>ROUND('Growth Curves'!V11*Assumptions!B50,0)</f>
        <v/>
      </c>
      <c r="W77" s="18">
        <f>ROUND('Growth Curves'!W11*Assumptions!B50,0)</f>
        <v/>
      </c>
      <c r="X77" s="18">
        <f>ROUND('Growth Curves'!X11*Assumptions!B50,0)</f>
        <v/>
      </c>
      <c r="Y77" s="18">
        <f>ROUND('Growth Curves'!Y11*Assumptions!B50,0)</f>
        <v/>
      </c>
      <c r="Z77" s="18">
        <f>SUM(B77:Y77)</f>
        <v/>
      </c>
    </row>
    <row r="78">
      <c r="A78" s="22" t="inlineStr">
        <is>
          <t xml:space="preserve">    Payroll Total</t>
        </is>
      </c>
      <c r="B78" s="23">
        <f>B71+B72+B73+B74+B75+B76+B77</f>
        <v/>
      </c>
      <c r="C78" s="23">
        <f>C71+C72+C73+C74+C75+C76+C77</f>
        <v/>
      </c>
      <c r="D78" s="23">
        <f>D71+D72+D73+D74+D75+D76+D77</f>
        <v/>
      </c>
      <c r="E78" s="23">
        <f>E71+E72+E73+E74+E75+E76+E77</f>
        <v/>
      </c>
      <c r="F78" s="23">
        <f>F71+F72+F73+F74+F75+F76+F77</f>
        <v/>
      </c>
      <c r="G78" s="23">
        <f>G71+G72+G73+G74+G75+G76+G77</f>
        <v/>
      </c>
      <c r="H78" s="23">
        <f>H71+H72+H73+H74+H75+H76+H77</f>
        <v/>
      </c>
      <c r="I78" s="23">
        <f>I71+I72+I73+I74+I75+I76+I77</f>
        <v/>
      </c>
      <c r="J78" s="23">
        <f>J71+J72+J73+J74+J75+J76+J77</f>
        <v/>
      </c>
      <c r="K78" s="23">
        <f>K71+K72+K73+K74+K75+K76+K77</f>
        <v/>
      </c>
      <c r="L78" s="23">
        <f>L71+L72+L73+L74+L75+L76+L77</f>
        <v/>
      </c>
      <c r="M78" s="23">
        <f>M71+M72+M73+M74+M75+M76+M77</f>
        <v/>
      </c>
      <c r="N78" s="23">
        <f>N71+N72+N73+N74+N75+N76+N77</f>
        <v/>
      </c>
      <c r="O78" s="23">
        <f>O71+O72+O73+O74+O75+O76+O77</f>
        <v/>
      </c>
      <c r="P78" s="23">
        <f>P71+P72+P73+P74+P75+P76+P77</f>
        <v/>
      </c>
      <c r="Q78" s="23">
        <f>Q71+Q72+Q73+Q74+Q75+Q76+Q77</f>
        <v/>
      </c>
      <c r="R78" s="23">
        <f>R71+R72+R73+R74+R75+R76+R77</f>
        <v/>
      </c>
      <c r="S78" s="23">
        <f>S71+S72+S73+S74+S75+S76+S77</f>
        <v/>
      </c>
      <c r="T78" s="23">
        <f>T71+T72+T73+T74+T75+T76+T77</f>
        <v/>
      </c>
      <c r="U78" s="23">
        <f>U71+U72+U73+U74+U75+U76+U77</f>
        <v/>
      </c>
      <c r="V78" s="23">
        <f>V71+V72+V73+V74+V75+V76+V77</f>
        <v/>
      </c>
      <c r="W78" s="23">
        <f>W71+W72+W73+W74+W75+W76+W77</f>
        <v/>
      </c>
      <c r="X78" s="23">
        <f>X71+X72+X73+X74+X75+X76+X77</f>
        <v/>
      </c>
      <c r="Y78" s="23">
        <f>Y71+Y72+Y73+Y74+Y75+Y76+Y77</f>
        <v/>
      </c>
      <c r="Z78" s="23">
        <f>SUM(B78:Y78)</f>
        <v/>
      </c>
    </row>
    <row r="79">
      <c r="A79" s="9" t="inlineStr">
        <is>
          <t xml:space="preserve">  Sales &amp; Marketing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>
      <c r="A80" s="17" t="inlineStr">
        <is>
          <t xml:space="preserve">    Paid Ads</t>
        </is>
      </c>
      <c r="B80" s="18">
        <f>'Growth Curves'!B10</f>
        <v/>
      </c>
      <c r="C80" s="18">
        <f>'Growth Curves'!C10</f>
        <v/>
      </c>
      <c r="D80" s="18">
        <f>'Growth Curves'!D10</f>
        <v/>
      </c>
      <c r="E80" s="18">
        <f>'Growth Curves'!E10</f>
        <v/>
      </c>
      <c r="F80" s="18">
        <f>'Growth Curves'!F10</f>
        <v/>
      </c>
      <c r="G80" s="18">
        <f>'Growth Curves'!G10</f>
        <v/>
      </c>
      <c r="H80" s="18">
        <f>'Growth Curves'!H10</f>
        <v/>
      </c>
      <c r="I80" s="18">
        <f>'Growth Curves'!I10</f>
        <v/>
      </c>
      <c r="J80" s="18">
        <f>'Growth Curves'!J10</f>
        <v/>
      </c>
      <c r="K80" s="18">
        <f>'Growth Curves'!K10</f>
        <v/>
      </c>
      <c r="L80" s="18">
        <f>'Growth Curves'!L10</f>
        <v/>
      </c>
      <c r="M80" s="18">
        <f>'Growth Curves'!M10</f>
        <v/>
      </c>
      <c r="N80" s="18">
        <f>'Growth Curves'!N10</f>
        <v/>
      </c>
      <c r="O80" s="18">
        <f>'Growth Curves'!O10</f>
        <v/>
      </c>
      <c r="P80" s="18">
        <f>'Growth Curves'!P10</f>
        <v/>
      </c>
      <c r="Q80" s="18">
        <f>'Growth Curves'!Q10</f>
        <v/>
      </c>
      <c r="R80" s="18">
        <f>'Growth Curves'!R10</f>
        <v/>
      </c>
      <c r="S80" s="18">
        <f>'Growth Curves'!S10</f>
        <v/>
      </c>
      <c r="T80" s="18">
        <f>'Growth Curves'!T10</f>
        <v/>
      </c>
      <c r="U80" s="18">
        <f>'Growth Curves'!U10</f>
        <v/>
      </c>
      <c r="V80" s="18">
        <f>'Growth Curves'!V10</f>
        <v/>
      </c>
      <c r="W80" s="18">
        <f>'Growth Curves'!W10</f>
        <v/>
      </c>
      <c r="X80" s="18">
        <f>'Growth Curves'!X10</f>
        <v/>
      </c>
      <c r="Y80" s="18">
        <f>'Growth Curves'!Y10</f>
        <v/>
      </c>
      <c r="Z80" s="18">
        <f>SUM(B80:Y80)</f>
        <v/>
      </c>
    </row>
    <row r="81">
      <c r="A81" s="17" t="inlineStr">
        <is>
          <t xml:space="preserve">    Content Creation</t>
        </is>
      </c>
      <c r="B81" s="18">
        <f>Assumptions!B86</f>
        <v/>
      </c>
      <c r="C81" s="18">
        <f>Assumptions!B86</f>
        <v/>
      </c>
      <c r="D81" s="18">
        <f>Assumptions!B86</f>
        <v/>
      </c>
      <c r="E81" s="18">
        <f>Assumptions!B86</f>
        <v/>
      </c>
      <c r="F81" s="18">
        <f>Assumptions!B86</f>
        <v/>
      </c>
      <c r="G81" s="18">
        <f>Assumptions!B86</f>
        <v/>
      </c>
      <c r="H81" s="18">
        <f>Assumptions!B86</f>
        <v/>
      </c>
      <c r="I81" s="18">
        <f>Assumptions!B86</f>
        <v/>
      </c>
      <c r="J81" s="18">
        <f>Assumptions!B86</f>
        <v/>
      </c>
      <c r="K81" s="18">
        <f>Assumptions!B86</f>
        <v/>
      </c>
      <c r="L81" s="18">
        <f>Assumptions!B86</f>
        <v/>
      </c>
      <c r="M81" s="18">
        <f>Assumptions!B86</f>
        <v/>
      </c>
      <c r="N81" s="18">
        <f>Assumptions!B86</f>
        <v/>
      </c>
      <c r="O81" s="18">
        <f>Assumptions!B86</f>
        <v/>
      </c>
      <c r="P81" s="18">
        <f>Assumptions!B86</f>
        <v/>
      </c>
      <c r="Q81" s="18">
        <f>Assumptions!B86</f>
        <v/>
      </c>
      <c r="R81" s="18">
        <f>Assumptions!B86</f>
        <v/>
      </c>
      <c r="S81" s="18">
        <f>Assumptions!B86</f>
        <v/>
      </c>
      <c r="T81" s="18">
        <f>Assumptions!B86</f>
        <v/>
      </c>
      <c r="U81" s="18">
        <f>Assumptions!B86</f>
        <v/>
      </c>
      <c r="V81" s="18">
        <f>Assumptions!B86</f>
        <v/>
      </c>
      <c r="W81" s="18">
        <f>Assumptions!B86</f>
        <v/>
      </c>
      <c r="X81" s="18">
        <f>Assumptions!B86</f>
        <v/>
      </c>
      <c r="Y81" s="18">
        <f>Assumptions!B86</f>
        <v/>
      </c>
      <c r="Z81" s="18">
        <f>SUM(B81:Y81)</f>
        <v/>
      </c>
    </row>
    <row r="82">
      <c r="A82" s="17" t="inlineStr">
        <is>
          <t xml:space="preserve">    Influencer Seeding (M7+)</t>
        </is>
      </c>
      <c r="B82" s="18">
        <f>IF(1&gt;=7,Assumptions!B87,0)</f>
        <v/>
      </c>
      <c r="C82" s="18">
        <f>IF(2&gt;=7,Assumptions!B87,0)</f>
        <v/>
      </c>
      <c r="D82" s="18">
        <f>IF(3&gt;=7,Assumptions!B87,0)</f>
        <v/>
      </c>
      <c r="E82" s="18">
        <f>IF(4&gt;=7,Assumptions!B87,0)</f>
        <v/>
      </c>
      <c r="F82" s="18">
        <f>IF(5&gt;=7,Assumptions!B87,0)</f>
        <v/>
      </c>
      <c r="G82" s="18">
        <f>IF(6&gt;=7,Assumptions!B87,0)</f>
        <v/>
      </c>
      <c r="H82" s="18">
        <f>IF(7&gt;=7,Assumptions!B87,0)</f>
        <v/>
      </c>
      <c r="I82" s="18">
        <f>IF(8&gt;=7,Assumptions!B87,0)</f>
        <v/>
      </c>
      <c r="J82" s="18">
        <f>IF(9&gt;=7,Assumptions!B87,0)</f>
        <v/>
      </c>
      <c r="K82" s="18">
        <f>IF(10&gt;=7,Assumptions!B87,0)</f>
        <v/>
      </c>
      <c r="L82" s="18">
        <f>IF(11&gt;=7,Assumptions!B87,0)</f>
        <v/>
      </c>
      <c r="M82" s="18">
        <f>IF(12&gt;=7,Assumptions!B87,0)</f>
        <v/>
      </c>
      <c r="N82" s="18">
        <f>IF(13&gt;=7,Assumptions!B87,0)</f>
        <v/>
      </c>
      <c r="O82" s="18">
        <f>IF(14&gt;=7,Assumptions!B87,0)</f>
        <v/>
      </c>
      <c r="P82" s="18">
        <f>IF(15&gt;=7,Assumptions!B87,0)</f>
        <v/>
      </c>
      <c r="Q82" s="18">
        <f>IF(16&gt;=7,Assumptions!B87,0)</f>
        <v/>
      </c>
      <c r="R82" s="18">
        <f>IF(17&gt;=7,Assumptions!B87,0)</f>
        <v/>
      </c>
      <c r="S82" s="18">
        <f>IF(18&gt;=7,Assumptions!B87,0)</f>
        <v/>
      </c>
      <c r="T82" s="18">
        <f>IF(19&gt;=7,Assumptions!B87,0)</f>
        <v/>
      </c>
      <c r="U82" s="18">
        <f>IF(20&gt;=7,Assumptions!B87,0)</f>
        <v/>
      </c>
      <c r="V82" s="18">
        <f>IF(21&gt;=7,Assumptions!B87,0)</f>
        <v/>
      </c>
      <c r="W82" s="18">
        <f>IF(22&gt;=7,Assumptions!B87,0)</f>
        <v/>
      </c>
      <c r="X82" s="18">
        <f>IF(23&gt;=7,Assumptions!B87,0)</f>
        <v/>
      </c>
      <c r="Y82" s="18">
        <f>IF(24&gt;=7,Assumptions!B87,0)</f>
        <v/>
      </c>
      <c r="Z82" s="18">
        <f>SUM(B82:Y82)</f>
        <v/>
      </c>
    </row>
    <row r="83">
      <c r="A83" s="22" t="inlineStr">
        <is>
          <t xml:space="preserve">    S&amp;M Total</t>
        </is>
      </c>
      <c r="B83" s="23">
        <f>B80+B81+B82</f>
        <v/>
      </c>
      <c r="C83" s="23">
        <f>C80+C81+C82</f>
        <v/>
      </c>
      <c r="D83" s="23">
        <f>D80+D81+D82</f>
        <v/>
      </c>
      <c r="E83" s="23">
        <f>E80+E81+E82</f>
        <v/>
      </c>
      <c r="F83" s="23">
        <f>F80+F81+F82</f>
        <v/>
      </c>
      <c r="G83" s="23">
        <f>G80+G81+G82</f>
        <v/>
      </c>
      <c r="H83" s="23">
        <f>H80+H81+H82</f>
        <v/>
      </c>
      <c r="I83" s="23">
        <f>I80+I81+I82</f>
        <v/>
      </c>
      <c r="J83" s="23">
        <f>J80+J81+J82</f>
        <v/>
      </c>
      <c r="K83" s="23">
        <f>K80+K81+K82</f>
        <v/>
      </c>
      <c r="L83" s="23">
        <f>L80+L81+L82</f>
        <v/>
      </c>
      <c r="M83" s="23">
        <f>M80+M81+M82</f>
        <v/>
      </c>
      <c r="N83" s="23">
        <f>N80+N81+N82</f>
        <v/>
      </c>
      <c r="O83" s="23">
        <f>O80+O81+O82</f>
        <v/>
      </c>
      <c r="P83" s="23">
        <f>P80+P81+P82</f>
        <v/>
      </c>
      <c r="Q83" s="23">
        <f>Q80+Q81+Q82</f>
        <v/>
      </c>
      <c r="R83" s="23">
        <f>R80+R81+R82</f>
        <v/>
      </c>
      <c r="S83" s="23">
        <f>S80+S81+S82</f>
        <v/>
      </c>
      <c r="T83" s="23">
        <f>T80+T81+T82</f>
        <v/>
      </c>
      <c r="U83" s="23">
        <f>U80+U81+U82</f>
        <v/>
      </c>
      <c r="V83" s="23">
        <f>V80+V81+V82</f>
        <v/>
      </c>
      <c r="W83" s="23">
        <f>W80+W81+W82</f>
        <v/>
      </c>
      <c r="X83" s="23">
        <f>X80+X81+X82</f>
        <v/>
      </c>
      <c r="Y83" s="23">
        <f>Y80+Y81+Y82</f>
        <v/>
      </c>
      <c r="Z83" s="23">
        <f>SUM(B83:Y83)</f>
        <v/>
      </c>
    </row>
    <row r="84">
      <c r="A84" s="9" t="inlineStr">
        <is>
          <t xml:space="preserve">  General &amp; Admin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>
      <c r="A85" s="17" t="inlineStr">
        <is>
          <t xml:space="preserve">    Rent (co-work M1-3 / space M4+)</t>
        </is>
      </c>
      <c r="B85" s="18">
        <f>IF(1&lt;=3,Assumptions!B61,Assumptions!B62)</f>
        <v/>
      </c>
      <c r="C85" s="18">
        <f>IF(2&lt;=3,Assumptions!B61,Assumptions!B62)</f>
        <v/>
      </c>
      <c r="D85" s="18">
        <f>IF(3&lt;=3,Assumptions!B61,Assumptions!B62)</f>
        <v/>
      </c>
      <c r="E85" s="18">
        <f>IF(4&lt;=3,Assumptions!B61,Assumptions!B62)</f>
        <v/>
      </c>
      <c r="F85" s="18">
        <f>IF(5&lt;=3,Assumptions!B61,Assumptions!B62)</f>
        <v/>
      </c>
      <c r="G85" s="18">
        <f>IF(6&lt;=3,Assumptions!B61,Assumptions!B62)</f>
        <v/>
      </c>
      <c r="H85" s="18">
        <f>IF(7&lt;=3,Assumptions!B61,Assumptions!B62)</f>
        <v/>
      </c>
      <c r="I85" s="18">
        <f>IF(8&lt;=3,Assumptions!B61,Assumptions!B62)</f>
        <v/>
      </c>
      <c r="J85" s="18">
        <f>IF(9&lt;=3,Assumptions!B61,Assumptions!B62)</f>
        <v/>
      </c>
      <c r="K85" s="18">
        <f>IF(10&lt;=3,Assumptions!B61,Assumptions!B62)</f>
        <v/>
      </c>
      <c r="L85" s="18">
        <f>IF(11&lt;=3,Assumptions!B61,Assumptions!B62)</f>
        <v/>
      </c>
      <c r="M85" s="18">
        <f>IF(12&lt;=3,Assumptions!B61,Assumptions!B62)</f>
        <v/>
      </c>
      <c r="N85" s="18">
        <f>IF(13&lt;=3,Assumptions!B61,Assumptions!B62)</f>
        <v/>
      </c>
      <c r="O85" s="18">
        <f>IF(14&lt;=3,Assumptions!B61,Assumptions!B62)</f>
        <v/>
      </c>
      <c r="P85" s="18">
        <f>IF(15&lt;=3,Assumptions!B61,Assumptions!B62)</f>
        <v/>
      </c>
      <c r="Q85" s="18">
        <f>IF(16&lt;=3,Assumptions!B61,Assumptions!B62)</f>
        <v/>
      </c>
      <c r="R85" s="18">
        <f>IF(17&lt;=3,Assumptions!B61,Assumptions!B62)</f>
        <v/>
      </c>
      <c r="S85" s="18">
        <f>IF(18&lt;=3,Assumptions!B61,Assumptions!B62)</f>
        <v/>
      </c>
      <c r="T85" s="18">
        <f>IF(19&lt;=3,Assumptions!B61,Assumptions!B62)</f>
        <v/>
      </c>
      <c r="U85" s="18">
        <f>IF(20&lt;=3,Assumptions!B61,Assumptions!B62)</f>
        <v/>
      </c>
      <c r="V85" s="18">
        <f>IF(21&lt;=3,Assumptions!B61,Assumptions!B62)</f>
        <v/>
      </c>
      <c r="W85" s="18">
        <f>IF(22&lt;=3,Assumptions!B61,Assumptions!B62)</f>
        <v/>
      </c>
      <c r="X85" s="18">
        <f>IF(23&lt;=3,Assumptions!B61,Assumptions!B62)</f>
        <v/>
      </c>
      <c r="Y85" s="18">
        <f>IF(24&lt;=3,Assumptions!B61,Assumptions!B62)</f>
        <v/>
      </c>
      <c r="Z85" s="18">
        <f>SUM(B85:Y85)</f>
        <v/>
      </c>
    </row>
    <row r="86">
      <c r="A86" s="17" t="inlineStr">
        <is>
          <t xml:space="preserve">    Nebenkosten M4+ (P3)</t>
        </is>
      </c>
      <c r="B86" s="18">
        <f>IF(1&gt;=4,Assumptions!B63,0)</f>
        <v/>
      </c>
      <c r="C86" s="18">
        <f>IF(2&gt;=4,Assumptions!B63,0)</f>
        <v/>
      </c>
      <c r="D86" s="18">
        <f>IF(3&gt;=4,Assumptions!B63,0)</f>
        <v/>
      </c>
      <c r="E86" s="18">
        <f>IF(4&gt;=4,Assumptions!B63,0)</f>
        <v/>
      </c>
      <c r="F86" s="18">
        <f>IF(5&gt;=4,Assumptions!B63,0)</f>
        <v/>
      </c>
      <c r="G86" s="18">
        <f>IF(6&gt;=4,Assumptions!B63,0)</f>
        <v/>
      </c>
      <c r="H86" s="18">
        <f>IF(7&gt;=4,Assumptions!B63,0)</f>
        <v/>
      </c>
      <c r="I86" s="18">
        <f>IF(8&gt;=4,Assumptions!B63,0)</f>
        <v/>
      </c>
      <c r="J86" s="18">
        <f>IF(9&gt;=4,Assumptions!B63,0)</f>
        <v/>
      </c>
      <c r="K86" s="18">
        <f>IF(10&gt;=4,Assumptions!B63,0)</f>
        <v/>
      </c>
      <c r="L86" s="18">
        <f>IF(11&gt;=4,Assumptions!B63,0)</f>
        <v/>
      </c>
      <c r="M86" s="18">
        <f>IF(12&gt;=4,Assumptions!B63,0)</f>
        <v/>
      </c>
      <c r="N86" s="18">
        <f>IF(13&gt;=4,Assumptions!B63,0)</f>
        <v/>
      </c>
      <c r="O86" s="18">
        <f>IF(14&gt;=4,Assumptions!B63,0)</f>
        <v/>
      </c>
      <c r="P86" s="18">
        <f>IF(15&gt;=4,Assumptions!B63,0)</f>
        <v/>
      </c>
      <c r="Q86" s="18">
        <f>IF(16&gt;=4,Assumptions!B63,0)</f>
        <v/>
      </c>
      <c r="R86" s="18">
        <f>IF(17&gt;=4,Assumptions!B63,0)</f>
        <v/>
      </c>
      <c r="S86" s="18">
        <f>IF(18&gt;=4,Assumptions!B63,0)</f>
        <v/>
      </c>
      <c r="T86" s="18">
        <f>IF(19&gt;=4,Assumptions!B63,0)</f>
        <v/>
      </c>
      <c r="U86" s="18">
        <f>IF(20&gt;=4,Assumptions!B63,0)</f>
        <v/>
      </c>
      <c r="V86" s="18">
        <f>IF(21&gt;=4,Assumptions!B63,0)</f>
        <v/>
      </c>
      <c r="W86" s="18">
        <f>IF(22&gt;=4,Assumptions!B63,0)</f>
        <v/>
      </c>
      <c r="X86" s="18">
        <f>IF(23&gt;=4,Assumptions!B63,0)</f>
        <v/>
      </c>
      <c r="Y86" s="18">
        <f>IF(24&gt;=4,Assumptions!B63,0)</f>
        <v/>
      </c>
      <c r="Z86" s="18">
        <f>SUM(B86:Y86)</f>
        <v/>
      </c>
    </row>
    <row r="87">
      <c r="A87" s="17" t="inlineStr">
        <is>
          <t xml:space="preserve">    Steuerberater</t>
        </is>
      </c>
      <c r="B87" s="18">
        <f>Assumptions!B64</f>
        <v/>
      </c>
      <c r="C87" s="18">
        <f>Assumptions!B64</f>
        <v/>
      </c>
      <c r="D87" s="18">
        <f>Assumptions!B64</f>
        <v/>
      </c>
      <c r="E87" s="18">
        <f>Assumptions!B64</f>
        <v/>
      </c>
      <c r="F87" s="18">
        <f>Assumptions!B64</f>
        <v/>
      </c>
      <c r="G87" s="18">
        <f>Assumptions!B64</f>
        <v/>
      </c>
      <c r="H87" s="18">
        <f>Assumptions!B64</f>
        <v/>
      </c>
      <c r="I87" s="18">
        <f>Assumptions!B64</f>
        <v/>
      </c>
      <c r="J87" s="18">
        <f>Assumptions!B64</f>
        <v/>
      </c>
      <c r="K87" s="18">
        <f>Assumptions!B64</f>
        <v/>
      </c>
      <c r="L87" s="18">
        <f>Assumptions!B64</f>
        <v/>
      </c>
      <c r="M87" s="18">
        <f>Assumptions!B64</f>
        <v/>
      </c>
      <c r="N87" s="18">
        <f>Assumptions!B64</f>
        <v/>
      </c>
      <c r="O87" s="18">
        <f>Assumptions!B64</f>
        <v/>
      </c>
      <c r="P87" s="18">
        <f>Assumptions!B64</f>
        <v/>
      </c>
      <c r="Q87" s="18">
        <f>Assumptions!B64</f>
        <v/>
      </c>
      <c r="R87" s="18">
        <f>Assumptions!B64</f>
        <v/>
      </c>
      <c r="S87" s="18">
        <f>Assumptions!B64</f>
        <v/>
      </c>
      <c r="T87" s="18">
        <f>Assumptions!B64</f>
        <v/>
      </c>
      <c r="U87" s="18">
        <f>Assumptions!B64</f>
        <v/>
      </c>
      <c r="V87" s="18">
        <f>Assumptions!B64</f>
        <v/>
      </c>
      <c r="W87" s="18">
        <f>Assumptions!B64</f>
        <v/>
      </c>
      <c r="X87" s="18">
        <f>Assumptions!B64</f>
        <v/>
      </c>
      <c r="Y87" s="18">
        <f>Assumptions!B64</f>
        <v/>
      </c>
      <c r="Z87" s="18">
        <f>SUM(B87:Y87)</f>
        <v/>
      </c>
    </row>
    <row r="88">
      <c r="A88" s="17" t="inlineStr">
        <is>
          <t xml:space="preserve">    General Liability Insurance</t>
        </is>
      </c>
      <c r="B88" s="18">
        <f>Assumptions!B65</f>
        <v/>
      </c>
      <c r="C88" s="18">
        <f>Assumptions!B65</f>
        <v/>
      </c>
      <c r="D88" s="18">
        <f>Assumptions!B65</f>
        <v/>
      </c>
      <c r="E88" s="18">
        <f>Assumptions!B65</f>
        <v/>
      </c>
      <c r="F88" s="18">
        <f>Assumptions!B65</f>
        <v/>
      </c>
      <c r="G88" s="18">
        <f>Assumptions!B65</f>
        <v/>
      </c>
      <c r="H88" s="18">
        <f>Assumptions!B65</f>
        <v/>
      </c>
      <c r="I88" s="18">
        <f>Assumptions!B65</f>
        <v/>
      </c>
      <c r="J88" s="18">
        <f>Assumptions!B65</f>
        <v/>
      </c>
      <c r="K88" s="18">
        <f>Assumptions!B65</f>
        <v/>
      </c>
      <c r="L88" s="18">
        <f>Assumptions!B65</f>
        <v/>
      </c>
      <c r="M88" s="18">
        <f>Assumptions!B65</f>
        <v/>
      </c>
      <c r="N88" s="18">
        <f>Assumptions!B65</f>
        <v/>
      </c>
      <c r="O88" s="18">
        <f>Assumptions!B65</f>
        <v/>
      </c>
      <c r="P88" s="18">
        <f>Assumptions!B65</f>
        <v/>
      </c>
      <c r="Q88" s="18">
        <f>Assumptions!B65</f>
        <v/>
      </c>
      <c r="R88" s="18">
        <f>Assumptions!B65</f>
        <v/>
      </c>
      <c r="S88" s="18">
        <f>Assumptions!B65</f>
        <v/>
      </c>
      <c r="T88" s="18">
        <f>Assumptions!B65</f>
        <v/>
      </c>
      <c r="U88" s="18">
        <f>Assumptions!B65</f>
        <v/>
      </c>
      <c r="V88" s="18">
        <f>Assumptions!B65</f>
        <v/>
      </c>
      <c r="W88" s="18">
        <f>Assumptions!B65</f>
        <v/>
      </c>
      <c r="X88" s="18">
        <f>Assumptions!B65</f>
        <v/>
      </c>
      <c r="Y88" s="18">
        <f>Assumptions!B65</f>
        <v/>
      </c>
      <c r="Z88" s="18">
        <f>SUM(B88:Y88)</f>
        <v/>
      </c>
    </row>
    <row r="89">
      <c r="A89" s="17" t="inlineStr">
        <is>
          <t xml:space="preserve">    D&amp;O Insurance (P6)</t>
        </is>
      </c>
      <c r="B89" s="18">
        <f>Assumptions!B66</f>
        <v/>
      </c>
      <c r="C89" s="18">
        <f>Assumptions!B66</f>
        <v/>
      </c>
      <c r="D89" s="18">
        <f>Assumptions!B66</f>
        <v/>
      </c>
      <c r="E89" s="18">
        <f>Assumptions!B66</f>
        <v/>
      </c>
      <c r="F89" s="18">
        <f>Assumptions!B66</f>
        <v/>
      </c>
      <c r="G89" s="18">
        <f>Assumptions!B66</f>
        <v/>
      </c>
      <c r="H89" s="18">
        <f>Assumptions!B66</f>
        <v/>
      </c>
      <c r="I89" s="18">
        <f>Assumptions!B66</f>
        <v/>
      </c>
      <c r="J89" s="18">
        <f>Assumptions!B66</f>
        <v/>
      </c>
      <c r="K89" s="18">
        <f>Assumptions!B66</f>
        <v/>
      </c>
      <c r="L89" s="18">
        <f>Assumptions!B66</f>
        <v/>
      </c>
      <c r="M89" s="18">
        <f>Assumptions!B66</f>
        <v/>
      </c>
      <c r="N89" s="18">
        <f>Assumptions!B66</f>
        <v/>
      </c>
      <c r="O89" s="18">
        <f>Assumptions!B66</f>
        <v/>
      </c>
      <c r="P89" s="18">
        <f>Assumptions!B66</f>
        <v/>
      </c>
      <c r="Q89" s="18">
        <f>Assumptions!B66</f>
        <v/>
      </c>
      <c r="R89" s="18">
        <f>Assumptions!B66</f>
        <v/>
      </c>
      <c r="S89" s="18">
        <f>Assumptions!B66</f>
        <v/>
      </c>
      <c r="T89" s="18">
        <f>Assumptions!B66</f>
        <v/>
      </c>
      <c r="U89" s="18">
        <f>Assumptions!B66</f>
        <v/>
      </c>
      <c r="V89" s="18">
        <f>Assumptions!B66</f>
        <v/>
      </c>
      <c r="W89" s="18">
        <f>Assumptions!B66</f>
        <v/>
      </c>
      <c r="X89" s="18">
        <f>Assumptions!B66</f>
        <v/>
      </c>
      <c r="Y89" s="18">
        <f>Assumptions!B66</f>
        <v/>
      </c>
      <c r="Z89" s="18">
        <f>SUM(B89:Y89)</f>
        <v/>
      </c>
    </row>
    <row r="90">
      <c r="A90" s="17" t="inlineStr">
        <is>
          <t xml:space="preserve">    Cyber Insurance (P6)</t>
        </is>
      </c>
      <c r="B90" s="18">
        <f>Assumptions!B67</f>
        <v/>
      </c>
      <c r="C90" s="18">
        <f>Assumptions!B67</f>
        <v/>
      </c>
      <c r="D90" s="18">
        <f>Assumptions!B67</f>
        <v/>
      </c>
      <c r="E90" s="18">
        <f>Assumptions!B67</f>
        <v/>
      </c>
      <c r="F90" s="18">
        <f>Assumptions!B67</f>
        <v/>
      </c>
      <c r="G90" s="18">
        <f>Assumptions!B67</f>
        <v/>
      </c>
      <c r="H90" s="18">
        <f>Assumptions!B67</f>
        <v/>
      </c>
      <c r="I90" s="18">
        <f>Assumptions!B67</f>
        <v/>
      </c>
      <c r="J90" s="18">
        <f>Assumptions!B67</f>
        <v/>
      </c>
      <c r="K90" s="18">
        <f>Assumptions!B67</f>
        <v/>
      </c>
      <c r="L90" s="18">
        <f>Assumptions!B67</f>
        <v/>
      </c>
      <c r="M90" s="18">
        <f>Assumptions!B67</f>
        <v/>
      </c>
      <c r="N90" s="18">
        <f>Assumptions!B67</f>
        <v/>
      </c>
      <c r="O90" s="18">
        <f>Assumptions!B67</f>
        <v/>
      </c>
      <c r="P90" s="18">
        <f>Assumptions!B67</f>
        <v/>
      </c>
      <c r="Q90" s="18">
        <f>Assumptions!B67</f>
        <v/>
      </c>
      <c r="R90" s="18">
        <f>Assumptions!B67</f>
        <v/>
      </c>
      <c r="S90" s="18">
        <f>Assumptions!B67</f>
        <v/>
      </c>
      <c r="T90" s="18">
        <f>Assumptions!B67</f>
        <v/>
      </c>
      <c r="U90" s="18">
        <f>Assumptions!B67</f>
        <v/>
      </c>
      <c r="V90" s="18">
        <f>Assumptions!B67</f>
        <v/>
      </c>
      <c r="W90" s="18">
        <f>Assumptions!B67</f>
        <v/>
      </c>
      <c r="X90" s="18">
        <f>Assumptions!B67</f>
        <v/>
      </c>
      <c r="Y90" s="18">
        <f>Assumptions!B67</f>
        <v/>
      </c>
      <c r="Z90" s="18">
        <f>SUM(B90:Y90)</f>
        <v/>
      </c>
    </row>
    <row r="91">
      <c r="A91" s="17" t="inlineStr">
        <is>
          <t xml:space="preserve">    Product Liability Insurance (P6)</t>
        </is>
      </c>
      <c r="B91" s="18">
        <f>Assumptions!B68</f>
        <v/>
      </c>
      <c r="C91" s="18">
        <f>Assumptions!B68</f>
        <v/>
      </c>
      <c r="D91" s="18">
        <f>Assumptions!B68</f>
        <v/>
      </c>
      <c r="E91" s="18">
        <f>Assumptions!B68</f>
        <v/>
      </c>
      <c r="F91" s="18">
        <f>Assumptions!B68</f>
        <v/>
      </c>
      <c r="G91" s="18">
        <f>Assumptions!B68</f>
        <v/>
      </c>
      <c r="H91" s="18">
        <f>Assumptions!B68</f>
        <v/>
      </c>
      <c r="I91" s="18">
        <f>Assumptions!B68</f>
        <v/>
      </c>
      <c r="J91" s="18">
        <f>Assumptions!B68</f>
        <v/>
      </c>
      <c r="K91" s="18">
        <f>Assumptions!B68</f>
        <v/>
      </c>
      <c r="L91" s="18">
        <f>Assumptions!B68</f>
        <v/>
      </c>
      <c r="M91" s="18">
        <f>Assumptions!B68</f>
        <v/>
      </c>
      <c r="N91" s="18">
        <f>Assumptions!B68</f>
        <v/>
      </c>
      <c r="O91" s="18">
        <f>Assumptions!B68</f>
        <v/>
      </c>
      <c r="P91" s="18">
        <f>Assumptions!B68</f>
        <v/>
      </c>
      <c r="Q91" s="18">
        <f>Assumptions!B68</f>
        <v/>
      </c>
      <c r="R91" s="18">
        <f>Assumptions!B68</f>
        <v/>
      </c>
      <c r="S91" s="18">
        <f>Assumptions!B68</f>
        <v/>
      </c>
      <c r="T91" s="18">
        <f>Assumptions!B68</f>
        <v/>
      </c>
      <c r="U91" s="18">
        <f>Assumptions!B68</f>
        <v/>
      </c>
      <c r="V91" s="18">
        <f>Assumptions!B68</f>
        <v/>
      </c>
      <c r="W91" s="18">
        <f>Assumptions!B68</f>
        <v/>
      </c>
      <c r="X91" s="18">
        <f>Assumptions!B68</f>
        <v/>
      </c>
      <c r="Y91" s="18">
        <f>Assumptions!B68</f>
        <v/>
      </c>
      <c r="Z91" s="18">
        <f>SUM(B91:Y91)</f>
        <v/>
      </c>
    </row>
    <row r="92">
      <c r="A92" s="17" t="inlineStr">
        <is>
          <t xml:space="preserve">    Product Recall Insurance M4+ (P4)</t>
        </is>
      </c>
      <c r="B92" s="18">
        <f>IF(1&gt;=4,Assumptions!B69,0)</f>
        <v/>
      </c>
      <c r="C92" s="18">
        <f>IF(2&gt;=4,Assumptions!B69,0)</f>
        <v/>
      </c>
      <c r="D92" s="18">
        <f>IF(3&gt;=4,Assumptions!B69,0)</f>
        <v/>
      </c>
      <c r="E92" s="18">
        <f>IF(4&gt;=4,Assumptions!B69,0)</f>
        <v/>
      </c>
      <c r="F92" s="18">
        <f>IF(5&gt;=4,Assumptions!B69,0)</f>
        <v/>
      </c>
      <c r="G92" s="18">
        <f>IF(6&gt;=4,Assumptions!B69,0)</f>
        <v/>
      </c>
      <c r="H92" s="18">
        <f>IF(7&gt;=4,Assumptions!B69,0)</f>
        <v/>
      </c>
      <c r="I92" s="18">
        <f>IF(8&gt;=4,Assumptions!B69,0)</f>
        <v/>
      </c>
      <c r="J92" s="18">
        <f>IF(9&gt;=4,Assumptions!B69,0)</f>
        <v/>
      </c>
      <c r="K92" s="18">
        <f>IF(10&gt;=4,Assumptions!B69,0)</f>
        <v/>
      </c>
      <c r="L92" s="18">
        <f>IF(11&gt;=4,Assumptions!B69,0)</f>
        <v/>
      </c>
      <c r="M92" s="18">
        <f>IF(12&gt;=4,Assumptions!B69,0)</f>
        <v/>
      </c>
      <c r="N92" s="18">
        <f>IF(13&gt;=4,Assumptions!B69,0)</f>
        <v/>
      </c>
      <c r="O92" s="18">
        <f>IF(14&gt;=4,Assumptions!B69,0)</f>
        <v/>
      </c>
      <c r="P92" s="18">
        <f>IF(15&gt;=4,Assumptions!B69,0)</f>
        <v/>
      </c>
      <c r="Q92" s="18">
        <f>IF(16&gt;=4,Assumptions!B69,0)</f>
        <v/>
      </c>
      <c r="R92" s="18">
        <f>IF(17&gt;=4,Assumptions!B69,0)</f>
        <v/>
      </c>
      <c r="S92" s="18">
        <f>IF(18&gt;=4,Assumptions!B69,0)</f>
        <v/>
      </c>
      <c r="T92" s="18">
        <f>IF(19&gt;=4,Assumptions!B69,0)</f>
        <v/>
      </c>
      <c r="U92" s="18">
        <f>IF(20&gt;=4,Assumptions!B69,0)</f>
        <v/>
      </c>
      <c r="V92" s="18">
        <f>IF(21&gt;=4,Assumptions!B69,0)</f>
        <v/>
      </c>
      <c r="W92" s="18">
        <f>IF(22&gt;=4,Assumptions!B69,0)</f>
        <v/>
      </c>
      <c r="X92" s="18">
        <f>IF(23&gt;=4,Assumptions!B69,0)</f>
        <v/>
      </c>
      <c r="Y92" s="18">
        <f>IF(24&gt;=4,Assumptions!B69,0)</f>
        <v/>
      </c>
      <c r="Z92" s="18">
        <f>SUM(B92:Y92)</f>
        <v/>
      </c>
    </row>
    <row r="93">
      <c r="A93" s="17" t="inlineStr">
        <is>
          <t xml:space="preserve">    Utilities (M4+)</t>
        </is>
      </c>
      <c r="B93" s="18">
        <f>IF(1&gt;=4,Assumptions!B70,0)</f>
        <v/>
      </c>
      <c r="C93" s="18">
        <f>IF(2&gt;=4,Assumptions!B70,0)</f>
        <v/>
      </c>
      <c r="D93" s="18">
        <f>IF(3&gt;=4,Assumptions!B70,0)</f>
        <v/>
      </c>
      <c r="E93" s="18">
        <f>IF(4&gt;=4,Assumptions!B70,0)</f>
        <v/>
      </c>
      <c r="F93" s="18">
        <f>IF(5&gt;=4,Assumptions!B70,0)</f>
        <v/>
      </c>
      <c r="G93" s="18">
        <f>IF(6&gt;=4,Assumptions!B70,0)</f>
        <v/>
      </c>
      <c r="H93" s="18">
        <f>IF(7&gt;=4,Assumptions!B70,0)</f>
        <v/>
      </c>
      <c r="I93" s="18">
        <f>IF(8&gt;=4,Assumptions!B70,0)</f>
        <v/>
      </c>
      <c r="J93" s="18">
        <f>IF(9&gt;=4,Assumptions!B70,0)</f>
        <v/>
      </c>
      <c r="K93" s="18">
        <f>IF(10&gt;=4,Assumptions!B70,0)</f>
        <v/>
      </c>
      <c r="L93" s="18">
        <f>IF(11&gt;=4,Assumptions!B70,0)</f>
        <v/>
      </c>
      <c r="M93" s="18">
        <f>IF(12&gt;=4,Assumptions!B70,0)</f>
        <v/>
      </c>
      <c r="N93" s="18">
        <f>IF(13&gt;=4,Assumptions!B70,0)</f>
        <v/>
      </c>
      <c r="O93" s="18">
        <f>IF(14&gt;=4,Assumptions!B70,0)</f>
        <v/>
      </c>
      <c r="P93" s="18">
        <f>IF(15&gt;=4,Assumptions!B70,0)</f>
        <v/>
      </c>
      <c r="Q93" s="18">
        <f>IF(16&gt;=4,Assumptions!B70,0)</f>
        <v/>
      </c>
      <c r="R93" s="18">
        <f>IF(17&gt;=4,Assumptions!B70,0)</f>
        <v/>
      </c>
      <c r="S93" s="18">
        <f>IF(18&gt;=4,Assumptions!B70,0)</f>
        <v/>
      </c>
      <c r="T93" s="18">
        <f>IF(19&gt;=4,Assumptions!B70,0)</f>
        <v/>
      </c>
      <c r="U93" s="18">
        <f>IF(20&gt;=4,Assumptions!B70,0)</f>
        <v/>
      </c>
      <c r="V93" s="18">
        <f>IF(21&gt;=4,Assumptions!B70,0)</f>
        <v/>
      </c>
      <c r="W93" s="18">
        <f>IF(22&gt;=4,Assumptions!B70,0)</f>
        <v/>
      </c>
      <c r="X93" s="18">
        <f>IF(23&gt;=4,Assumptions!B70,0)</f>
        <v/>
      </c>
      <c r="Y93" s="18">
        <f>IF(24&gt;=4,Assumptions!B70,0)</f>
        <v/>
      </c>
      <c r="Z93" s="18">
        <f>SUM(B93:Y93)</f>
        <v/>
      </c>
    </row>
    <row r="94">
      <c r="A94" s="17" t="inlineStr">
        <is>
          <t xml:space="preserve">    Cleaning/Maintenance (M4+)</t>
        </is>
      </c>
      <c r="B94" s="18">
        <f>IF(1&gt;=4,Assumptions!B71,0)</f>
        <v/>
      </c>
      <c r="C94" s="18">
        <f>IF(2&gt;=4,Assumptions!B71,0)</f>
        <v/>
      </c>
      <c r="D94" s="18">
        <f>IF(3&gt;=4,Assumptions!B71,0)</f>
        <v/>
      </c>
      <c r="E94" s="18">
        <f>IF(4&gt;=4,Assumptions!B71,0)</f>
        <v/>
      </c>
      <c r="F94" s="18">
        <f>IF(5&gt;=4,Assumptions!B71,0)</f>
        <v/>
      </c>
      <c r="G94" s="18">
        <f>IF(6&gt;=4,Assumptions!B71,0)</f>
        <v/>
      </c>
      <c r="H94" s="18">
        <f>IF(7&gt;=4,Assumptions!B71,0)</f>
        <v/>
      </c>
      <c r="I94" s="18">
        <f>IF(8&gt;=4,Assumptions!B71,0)</f>
        <v/>
      </c>
      <c r="J94" s="18">
        <f>IF(9&gt;=4,Assumptions!B71,0)</f>
        <v/>
      </c>
      <c r="K94" s="18">
        <f>IF(10&gt;=4,Assumptions!B71,0)</f>
        <v/>
      </c>
      <c r="L94" s="18">
        <f>IF(11&gt;=4,Assumptions!B71,0)</f>
        <v/>
      </c>
      <c r="M94" s="18">
        <f>IF(12&gt;=4,Assumptions!B71,0)</f>
        <v/>
      </c>
      <c r="N94" s="18">
        <f>IF(13&gt;=4,Assumptions!B71,0)</f>
        <v/>
      </c>
      <c r="O94" s="18">
        <f>IF(14&gt;=4,Assumptions!B71,0)</f>
        <v/>
      </c>
      <c r="P94" s="18">
        <f>IF(15&gt;=4,Assumptions!B71,0)</f>
        <v/>
      </c>
      <c r="Q94" s="18">
        <f>IF(16&gt;=4,Assumptions!B71,0)</f>
        <v/>
      </c>
      <c r="R94" s="18">
        <f>IF(17&gt;=4,Assumptions!B71,0)</f>
        <v/>
      </c>
      <c r="S94" s="18">
        <f>IF(18&gt;=4,Assumptions!B71,0)</f>
        <v/>
      </c>
      <c r="T94" s="18">
        <f>IF(19&gt;=4,Assumptions!B71,0)</f>
        <v/>
      </c>
      <c r="U94" s="18">
        <f>IF(20&gt;=4,Assumptions!B71,0)</f>
        <v/>
      </c>
      <c r="V94" s="18">
        <f>IF(21&gt;=4,Assumptions!B71,0)</f>
        <v/>
      </c>
      <c r="W94" s="18">
        <f>IF(22&gt;=4,Assumptions!B71,0)</f>
        <v/>
      </c>
      <c r="X94" s="18">
        <f>IF(23&gt;=4,Assumptions!B71,0)</f>
        <v/>
      </c>
      <c r="Y94" s="18">
        <f>IF(24&gt;=4,Assumptions!B71,0)</f>
        <v/>
      </c>
      <c r="Z94" s="18">
        <f>SUM(B94:Y94)</f>
        <v/>
      </c>
    </row>
    <row r="95">
      <c r="A95" s="17" t="inlineStr">
        <is>
          <t xml:space="preserve">    Maintenance Reserve M4+ (P3)</t>
        </is>
      </c>
      <c r="B95" s="18">
        <f>IF(1&gt;=4,Assumptions!B72,0)</f>
        <v/>
      </c>
      <c r="C95" s="18">
        <f>IF(2&gt;=4,Assumptions!B72,0)</f>
        <v/>
      </c>
      <c r="D95" s="18">
        <f>IF(3&gt;=4,Assumptions!B72,0)</f>
        <v/>
      </c>
      <c r="E95" s="18">
        <f>IF(4&gt;=4,Assumptions!B72,0)</f>
        <v/>
      </c>
      <c r="F95" s="18">
        <f>IF(5&gt;=4,Assumptions!B72,0)</f>
        <v/>
      </c>
      <c r="G95" s="18">
        <f>IF(6&gt;=4,Assumptions!B72,0)</f>
        <v/>
      </c>
      <c r="H95" s="18">
        <f>IF(7&gt;=4,Assumptions!B72,0)</f>
        <v/>
      </c>
      <c r="I95" s="18">
        <f>IF(8&gt;=4,Assumptions!B72,0)</f>
        <v/>
      </c>
      <c r="J95" s="18">
        <f>IF(9&gt;=4,Assumptions!B72,0)</f>
        <v/>
      </c>
      <c r="K95" s="18">
        <f>IF(10&gt;=4,Assumptions!B72,0)</f>
        <v/>
      </c>
      <c r="L95" s="18">
        <f>IF(11&gt;=4,Assumptions!B72,0)</f>
        <v/>
      </c>
      <c r="M95" s="18">
        <f>IF(12&gt;=4,Assumptions!B72,0)</f>
        <v/>
      </c>
      <c r="N95" s="18">
        <f>IF(13&gt;=4,Assumptions!B72,0)</f>
        <v/>
      </c>
      <c r="O95" s="18">
        <f>IF(14&gt;=4,Assumptions!B72,0)</f>
        <v/>
      </c>
      <c r="P95" s="18">
        <f>IF(15&gt;=4,Assumptions!B72,0)</f>
        <v/>
      </c>
      <c r="Q95" s="18">
        <f>IF(16&gt;=4,Assumptions!B72,0)</f>
        <v/>
      </c>
      <c r="R95" s="18">
        <f>IF(17&gt;=4,Assumptions!B72,0)</f>
        <v/>
      </c>
      <c r="S95" s="18">
        <f>IF(18&gt;=4,Assumptions!B72,0)</f>
        <v/>
      </c>
      <c r="T95" s="18">
        <f>IF(19&gt;=4,Assumptions!B72,0)</f>
        <v/>
      </c>
      <c r="U95" s="18">
        <f>IF(20&gt;=4,Assumptions!B72,0)</f>
        <v/>
      </c>
      <c r="V95" s="18">
        <f>IF(21&gt;=4,Assumptions!B72,0)</f>
        <v/>
      </c>
      <c r="W95" s="18">
        <f>IF(22&gt;=4,Assumptions!B72,0)</f>
        <v/>
      </c>
      <c r="X95" s="18">
        <f>IF(23&gt;=4,Assumptions!B72,0)</f>
        <v/>
      </c>
      <c r="Y95" s="18">
        <f>IF(24&gt;=4,Assumptions!B72,0)</f>
        <v/>
      </c>
      <c r="Z95" s="18">
        <f>SUM(B95:Y95)</f>
        <v/>
      </c>
    </row>
    <row r="96">
      <c r="A96" s="17" t="inlineStr">
        <is>
          <t xml:space="preserve">    Waste Disposal M4+ (P3)</t>
        </is>
      </c>
      <c r="B96" s="18">
        <f>IF(1&gt;=4,Assumptions!B73,0)</f>
        <v/>
      </c>
      <c r="C96" s="18">
        <f>IF(2&gt;=4,Assumptions!B73,0)</f>
        <v/>
      </c>
      <c r="D96" s="18">
        <f>IF(3&gt;=4,Assumptions!B73,0)</f>
        <v/>
      </c>
      <c r="E96" s="18">
        <f>IF(4&gt;=4,Assumptions!B73,0)</f>
        <v/>
      </c>
      <c r="F96" s="18">
        <f>IF(5&gt;=4,Assumptions!B73,0)</f>
        <v/>
      </c>
      <c r="G96" s="18">
        <f>IF(6&gt;=4,Assumptions!B73,0)</f>
        <v/>
      </c>
      <c r="H96" s="18">
        <f>IF(7&gt;=4,Assumptions!B73,0)</f>
        <v/>
      </c>
      <c r="I96" s="18">
        <f>IF(8&gt;=4,Assumptions!B73,0)</f>
        <v/>
      </c>
      <c r="J96" s="18">
        <f>IF(9&gt;=4,Assumptions!B73,0)</f>
        <v/>
      </c>
      <c r="K96" s="18">
        <f>IF(10&gt;=4,Assumptions!B73,0)</f>
        <v/>
      </c>
      <c r="L96" s="18">
        <f>IF(11&gt;=4,Assumptions!B73,0)</f>
        <v/>
      </c>
      <c r="M96" s="18">
        <f>IF(12&gt;=4,Assumptions!B73,0)</f>
        <v/>
      </c>
      <c r="N96" s="18">
        <f>IF(13&gt;=4,Assumptions!B73,0)</f>
        <v/>
      </c>
      <c r="O96" s="18">
        <f>IF(14&gt;=4,Assumptions!B73,0)</f>
        <v/>
      </c>
      <c r="P96" s="18">
        <f>IF(15&gt;=4,Assumptions!B73,0)</f>
        <v/>
      </c>
      <c r="Q96" s="18">
        <f>IF(16&gt;=4,Assumptions!B73,0)</f>
        <v/>
      </c>
      <c r="R96" s="18">
        <f>IF(17&gt;=4,Assumptions!B73,0)</f>
        <v/>
      </c>
      <c r="S96" s="18">
        <f>IF(18&gt;=4,Assumptions!B73,0)</f>
        <v/>
      </c>
      <c r="T96" s="18">
        <f>IF(19&gt;=4,Assumptions!B73,0)</f>
        <v/>
      </c>
      <c r="U96" s="18">
        <f>IF(20&gt;=4,Assumptions!B73,0)</f>
        <v/>
      </c>
      <c r="V96" s="18">
        <f>IF(21&gt;=4,Assumptions!B73,0)</f>
        <v/>
      </c>
      <c r="W96" s="18">
        <f>IF(22&gt;=4,Assumptions!B73,0)</f>
        <v/>
      </c>
      <c r="X96" s="18">
        <f>IF(23&gt;=4,Assumptions!B73,0)</f>
        <v/>
      </c>
      <c r="Y96" s="18">
        <f>IF(24&gt;=4,Assumptions!B73,0)</f>
        <v/>
      </c>
      <c r="Z96" s="18">
        <f>SUM(B96:Y96)</f>
        <v/>
      </c>
    </row>
    <row r="97">
      <c r="A97" s="17" t="inlineStr">
        <is>
          <t xml:space="preserve">    WiFi/Internet M4+ (P3)</t>
        </is>
      </c>
      <c r="B97" s="18">
        <f>IF(1&gt;=4,Assumptions!B74,0)</f>
        <v/>
      </c>
      <c r="C97" s="18">
        <f>IF(2&gt;=4,Assumptions!B74,0)</f>
        <v/>
      </c>
      <c r="D97" s="18">
        <f>IF(3&gt;=4,Assumptions!B74,0)</f>
        <v/>
      </c>
      <c r="E97" s="18">
        <f>IF(4&gt;=4,Assumptions!B74,0)</f>
        <v/>
      </c>
      <c r="F97" s="18">
        <f>IF(5&gt;=4,Assumptions!B74,0)</f>
        <v/>
      </c>
      <c r="G97" s="18">
        <f>IF(6&gt;=4,Assumptions!B74,0)</f>
        <v/>
      </c>
      <c r="H97" s="18">
        <f>IF(7&gt;=4,Assumptions!B74,0)</f>
        <v/>
      </c>
      <c r="I97" s="18">
        <f>IF(8&gt;=4,Assumptions!B74,0)</f>
        <v/>
      </c>
      <c r="J97" s="18">
        <f>IF(9&gt;=4,Assumptions!B74,0)</f>
        <v/>
      </c>
      <c r="K97" s="18">
        <f>IF(10&gt;=4,Assumptions!B74,0)</f>
        <v/>
      </c>
      <c r="L97" s="18">
        <f>IF(11&gt;=4,Assumptions!B74,0)</f>
        <v/>
      </c>
      <c r="M97" s="18">
        <f>IF(12&gt;=4,Assumptions!B74,0)</f>
        <v/>
      </c>
      <c r="N97" s="18">
        <f>IF(13&gt;=4,Assumptions!B74,0)</f>
        <v/>
      </c>
      <c r="O97" s="18">
        <f>IF(14&gt;=4,Assumptions!B74,0)</f>
        <v/>
      </c>
      <c r="P97" s="18">
        <f>IF(15&gt;=4,Assumptions!B74,0)</f>
        <v/>
      </c>
      <c r="Q97" s="18">
        <f>IF(16&gt;=4,Assumptions!B74,0)</f>
        <v/>
      </c>
      <c r="R97" s="18">
        <f>IF(17&gt;=4,Assumptions!B74,0)</f>
        <v/>
      </c>
      <c r="S97" s="18">
        <f>IF(18&gt;=4,Assumptions!B74,0)</f>
        <v/>
      </c>
      <c r="T97" s="18">
        <f>IF(19&gt;=4,Assumptions!B74,0)</f>
        <v/>
      </c>
      <c r="U97" s="18">
        <f>IF(20&gt;=4,Assumptions!B74,0)</f>
        <v/>
      </c>
      <c r="V97" s="18">
        <f>IF(21&gt;=4,Assumptions!B74,0)</f>
        <v/>
      </c>
      <c r="W97" s="18">
        <f>IF(22&gt;=4,Assumptions!B74,0)</f>
        <v/>
      </c>
      <c r="X97" s="18">
        <f>IF(23&gt;=4,Assumptions!B74,0)</f>
        <v/>
      </c>
      <c r="Y97" s="18">
        <f>IF(24&gt;=4,Assumptions!B74,0)</f>
        <v/>
      </c>
      <c r="Z97" s="18">
        <f>SUM(B97:Y97)</f>
        <v/>
      </c>
    </row>
    <row r="98">
      <c r="A98" s="17" t="inlineStr">
        <is>
          <t xml:space="preserve">    POS System (M4+)</t>
        </is>
      </c>
      <c r="B98" s="18">
        <f>IF(1&gt;=4,Assumptions!B75,0)</f>
        <v/>
      </c>
      <c r="C98" s="18">
        <f>IF(2&gt;=4,Assumptions!B75,0)</f>
        <v/>
      </c>
      <c r="D98" s="18">
        <f>IF(3&gt;=4,Assumptions!B75,0)</f>
        <v/>
      </c>
      <c r="E98" s="18">
        <f>IF(4&gt;=4,Assumptions!B75,0)</f>
        <v/>
      </c>
      <c r="F98" s="18">
        <f>IF(5&gt;=4,Assumptions!B75,0)</f>
        <v/>
      </c>
      <c r="G98" s="18">
        <f>IF(6&gt;=4,Assumptions!B75,0)</f>
        <v/>
      </c>
      <c r="H98" s="18">
        <f>IF(7&gt;=4,Assumptions!B75,0)</f>
        <v/>
      </c>
      <c r="I98" s="18">
        <f>IF(8&gt;=4,Assumptions!B75,0)</f>
        <v/>
      </c>
      <c r="J98" s="18">
        <f>IF(9&gt;=4,Assumptions!B75,0)</f>
        <v/>
      </c>
      <c r="K98" s="18">
        <f>IF(10&gt;=4,Assumptions!B75,0)</f>
        <v/>
      </c>
      <c r="L98" s="18">
        <f>IF(11&gt;=4,Assumptions!B75,0)</f>
        <v/>
      </c>
      <c r="M98" s="18">
        <f>IF(12&gt;=4,Assumptions!B75,0)</f>
        <v/>
      </c>
      <c r="N98" s="18">
        <f>IF(13&gt;=4,Assumptions!B75,0)</f>
        <v/>
      </c>
      <c r="O98" s="18">
        <f>IF(14&gt;=4,Assumptions!B75,0)</f>
        <v/>
      </c>
      <c r="P98" s="18">
        <f>IF(15&gt;=4,Assumptions!B75,0)</f>
        <v/>
      </c>
      <c r="Q98" s="18">
        <f>IF(16&gt;=4,Assumptions!B75,0)</f>
        <v/>
      </c>
      <c r="R98" s="18">
        <f>IF(17&gt;=4,Assumptions!B75,0)</f>
        <v/>
      </c>
      <c r="S98" s="18">
        <f>IF(18&gt;=4,Assumptions!B75,0)</f>
        <v/>
      </c>
      <c r="T98" s="18">
        <f>IF(19&gt;=4,Assumptions!B75,0)</f>
        <v/>
      </c>
      <c r="U98" s="18">
        <f>IF(20&gt;=4,Assumptions!B75,0)</f>
        <v/>
      </c>
      <c r="V98" s="18">
        <f>IF(21&gt;=4,Assumptions!B75,0)</f>
        <v/>
      </c>
      <c r="W98" s="18">
        <f>IF(22&gt;=4,Assumptions!B75,0)</f>
        <v/>
      </c>
      <c r="X98" s="18">
        <f>IF(23&gt;=4,Assumptions!B75,0)</f>
        <v/>
      </c>
      <c r="Y98" s="18">
        <f>IF(24&gt;=4,Assumptions!B75,0)</f>
        <v/>
      </c>
      <c r="Z98" s="18">
        <f>SUM(B98:Y98)</f>
        <v/>
      </c>
    </row>
    <row r="99">
      <c r="A99" s="17" t="inlineStr">
        <is>
          <t xml:space="preserve">    DSB / ext. DPO (P6: mandatory)</t>
        </is>
      </c>
      <c r="B99" s="18">
        <f>Assumptions!B76</f>
        <v/>
      </c>
      <c r="C99" s="18">
        <f>Assumptions!B76</f>
        <v/>
      </c>
      <c r="D99" s="18">
        <f>Assumptions!B76</f>
        <v/>
      </c>
      <c r="E99" s="18">
        <f>Assumptions!B76</f>
        <v/>
      </c>
      <c r="F99" s="18">
        <f>Assumptions!B76</f>
        <v/>
      </c>
      <c r="G99" s="18">
        <f>Assumptions!B76</f>
        <v/>
      </c>
      <c r="H99" s="18">
        <f>Assumptions!B76</f>
        <v/>
      </c>
      <c r="I99" s="18">
        <f>Assumptions!B76</f>
        <v/>
      </c>
      <c r="J99" s="18">
        <f>Assumptions!B76</f>
        <v/>
      </c>
      <c r="K99" s="18">
        <f>Assumptions!B76</f>
        <v/>
      </c>
      <c r="L99" s="18">
        <f>Assumptions!B76</f>
        <v/>
      </c>
      <c r="M99" s="18">
        <f>Assumptions!B76</f>
        <v/>
      </c>
      <c r="N99" s="18">
        <f>Assumptions!B76</f>
        <v/>
      </c>
      <c r="O99" s="18">
        <f>Assumptions!B76</f>
        <v/>
      </c>
      <c r="P99" s="18">
        <f>Assumptions!B76</f>
        <v/>
      </c>
      <c r="Q99" s="18">
        <f>Assumptions!B76</f>
        <v/>
      </c>
      <c r="R99" s="18">
        <f>Assumptions!B76</f>
        <v/>
      </c>
      <c r="S99" s="18">
        <f>Assumptions!B76</f>
        <v/>
      </c>
      <c r="T99" s="18">
        <f>Assumptions!B76</f>
        <v/>
      </c>
      <c r="U99" s="18">
        <f>Assumptions!B76</f>
        <v/>
      </c>
      <c r="V99" s="18">
        <f>Assumptions!B76</f>
        <v/>
      </c>
      <c r="W99" s="18">
        <f>Assumptions!B76</f>
        <v/>
      </c>
      <c r="X99" s="18">
        <f>Assumptions!B76</f>
        <v/>
      </c>
      <c r="Y99" s="18">
        <f>Assumptions!B76</f>
        <v/>
      </c>
      <c r="Z99" s="18">
        <f>SUM(B99:Y99)</f>
        <v/>
      </c>
    </row>
    <row r="100">
      <c r="A100" s="17" t="inlineStr">
        <is>
          <t xml:space="preserve">    CMP Cookie Tool (P6)</t>
        </is>
      </c>
      <c r="B100" s="18">
        <f>Assumptions!B77</f>
        <v/>
      </c>
      <c r="C100" s="18">
        <f>Assumptions!B77</f>
        <v/>
      </c>
      <c r="D100" s="18">
        <f>Assumptions!B77</f>
        <v/>
      </c>
      <c r="E100" s="18">
        <f>Assumptions!B77</f>
        <v/>
      </c>
      <c r="F100" s="18">
        <f>Assumptions!B77</f>
        <v/>
      </c>
      <c r="G100" s="18">
        <f>Assumptions!B77</f>
        <v/>
      </c>
      <c r="H100" s="18">
        <f>Assumptions!B77</f>
        <v/>
      </c>
      <c r="I100" s="18">
        <f>Assumptions!B77</f>
        <v/>
      </c>
      <c r="J100" s="18">
        <f>Assumptions!B77</f>
        <v/>
      </c>
      <c r="K100" s="18">
        <f>Assumptions!B77</f>
        <v/>
      </c>
      <c r="L100" s="18">
        <f>Assumptions!B77</f>
        <v/>
      </c>
      <c r="M100" s="18">
        <f>Assumptions!B77</f>
        <v/>
      </c>
      <c r="N100" s="18">
        <f>Assumptions!B77</f>
        <v/>
      </c>
      <c r="O100" s="18">
        <f>Assumptions!B77</f>
        <v/>
      </c>
      <c r="P100" s="18">
        <f>Assumptions!B77</f>
        <v/>
      </c>
      <c r="Q100" s="18">
        <f>Assumptions!B77</f>
        <v/>
      </c>
      <c r="R100" s="18">
        <f>Assumptions!B77</f>
        <v/>
      </c>
      <c r="S100" s="18">
        <f>Assumptions!B77</f>
        <v/>
      </c>
      <c r="T100" s="18">
        <f>Assumptions!B77</f>
        <v/>
      </c>
      <c r="U100" s="18">
        <f>Assumptions!B77</f>
        <v/>
      </c>
      <c r="V100" s="18">
        <f>Assumptions!B77</f>
        <v/>
      </c>
      <c r="W100" s="18">
        <f>Assumptions!B77</f>
        <v/>
      </c>
      <c r="X100" s="18">
        <f>Assumptions!B77</f>
        <v/>
      </c>
      <c r="Y100" s="18">
        <f>Assumptions!B77</f>
        <v/>
      </c>
      <c r="Z100" s="18">
        <f>SUM(B100:Y100)</f>
        <v/>
      </c>
    </row>
    <row r="101">
      <c r="A101" s="17" t="inlineStr">
        <is>
          <t xml:space="preserve">    Food Safety Compliance M4+ (P4)</t>
        </is>
      </c>
      <c r="B101" s="18">
        <f>IF(1&gt;=4,Assumptions!B78,0)</f>
        <v/>
      </c>
      <c r="C101" s="18">
        <f>IF(2&gt;=4,Assumptions!B78,0)</f>
        <v/>
      </c>
      <c r="D101" s="18">
        <f>IF(3&gt;=4,Assumptions!B78,0)</f>
        <v/>
      </c>
      <c r="E101" s="18">
        <f>IF(4&gt;=4,Assumptions!B78,0)</f>
        <v/>
      </c>
      <c r="F101" s="18">
        <f>IF(5&gt;=4,Assumptions!B78,0)</f>
        <v/>
      </c>
      <c r="G101" s="18">
        <f>IF(6&gt;=4,Assumptions!B78,0)</f>
        <v/>
      </c>
      <c r="H101" s="18">
        <f>IF(7&gt;=4,Assumptions!B78,0)</f>
        <v/>
      </c>
      <c r="I101" s="18">
        <f>IF(8&gt;=4,Assumptions!B78,0)</f>
        <v/>
      </c>
      <c r="J101" s="18">
        <f>IF(9&gt;=4,Assumptions!B78,0)</f>
        <v/>
      </c>
      <c r="K101" s="18">
        <f>IF(10&gt;=4,Assumptions!B78,0)</f>
        <v/>
      </c>
      <c r="L101" s="18">
        <f>IF(11&gt;=4,Assumptions!B78,0)</f>
        <v/>
      </c>
      <c r="M101" s="18">
        <f>IF(12&gt;=4,Assumptions!B78,0)</f>
        <v/>
      </c>
      <c r="N101" s="18">
        <f>IF(13&gt;=4,Assumptions!B78,0)</f>
        <v/>
      </c>
      <c r="O101" s="18">
        <f>IF(14&gt;=4,Assumptions!B78,0)</f>
        <v/>
      </c>
      <c r="P101" s="18">
        <f>IF(15&gt;=4,Assumptions!B78,0)</f>
        <v/>
      </c>
      <c r="Q101" s="18">
        <f>IF(16&gt;=4,Assumptions!B78,0)</f>
        <v/>
      </c>
      <c r="R101" s="18">
        <f>IF(17&gt;=4,Assumptions!B78,0)</f>
        <v/>
      </c>
      <c r="S101" s="18">
        <f>IF(18&gt;=4,Assumptions!B78,0)</f>
        <v/>
      </c>
      <c r="T101" s="18">
        <f>IF(19&gt;=4,Assumptions!B78,0)</f>
        <v/>
      </c>
      <c r="U101" s="18">
        <f>IF(20&gt;=4,Assumptions!B78,0)</f>
        <v/>
      </c>
      <c r="V101" s="18">
        <f>IF(21&gt;=4,Assumptions!B78,0)</f>
        <v/>
      </c>
      <c r="W101" s="18">
        <f>IF(22&gt;=4,Assumptions!B78,0)</f>
        <v/>
      </c>
      <c r="X101" s="18">
        <f>IF(23&gt;=4,Assumptions!B78,0)</f>
        <v/>
      </c>
      <c r="Y101" s="18">
        <f>IF(24&gt;=4,Assumptions!B78,0)</f>
        <v/>
      </c>
      <c r="Z101" s="18">
        <f>SUM(B101:Y101)</f>
        <v/>
      </c>
    </row>
    <row r="102">
      <c r="A102" s="17" t="inlineStr">
        <is>
          <t xml:space="preserve">    IHK Berlin (P2: EUR 120/yr)</t>
        </is>
      </c>
      <c r="B102" s="18">
        <f>Assumptions!B79</f>
        <v/>
      </c>
      <c r="C102" s="18">
        <f>Assumptions!B79</f>
        <v/>
      </c>
      <c r="D102" s="18">
        <f>Assumptions!B79</f>
        <v/>
      </c>
      <c r="E102" s="18">
        <f>Assumptions!B79</f>
        <v/>
      </c>
      <c r="F102" s="18">
        <f>Assumptions!B79</f>
        <v/>
      </c>
      <c r="G102" s="18">
        <f>Assumptions!B79</f>
        <v/>
      </c>
      <c r="H102" s="18">
        <f>Assumptions!B79</f>
        <v/>
      </c>
      <c r="I102" s="18">
        <f>Assumptions!B79</f>
        <v/>
      </c>
      <c r="J102" s="18">
        <f>Assumptions!B79</f>
        <v/>
      </c>
      <c r="K102" s="18">
        <f>Assumptions!B79</f>
        <v/>
      </c>
      <c r="L102" s="18">
        <f>Assumptions!B79</f>
        <v/>
      </c>
      <c r="M102" s="18">
        <f>Assumptions!B79</f>
        <v/>
      </c>
      <c r="N102" s="18">
        <f>Assumptions!B79</f>
        <v/>
      </c>
      <c r="O102" s="18">
        <f>Assumptions!B79</f>
        <v/>
      </c>
      <c r="P102" s="18">
        <f>Assumptions!B79</f>
        <v/>
      </c>
      <c r="Q102" s="18">
        <f>Assumptions!B79</f>
        <v/>
      </c>
      <c r="R102" s="18">
        <f>Assumptions!B79</f>
        <v/>
      </c>
      <c r="S102" s="18">
        <f>Assumptions!B79</f>
        <v/>
      </c>
      <c r="T102" s="18">
        <f>Assumptions!B79</f>
        <v/>
      </c>
      <c r="U102" s="18">
        <f>Assumptions!B79</f>
        <v/>
      </c>
      <c r="V102" s="18">
        <f>Assumptions!B79</f>
        <v/>
      </c>
      <c r="W102" s="18">
        <f>Assumptions!B79</f>
        <v/>
      </c>
      <c r="X102" s="18">
        <f>Assumptions!B79</f>
        <v/>
      </c>
      <c r="Y102" s="18">
        <f>Assumptions!B79</f>
        <v/>
      </c>
      <c r="Z102" s="18">
        <f>SUM(B102:Y102)</f>
        <v/>
      </c>
    </row>
    <row r="103">
      <c r="A103" s="17" t="inlineStr">
        <is>
          <t xml:space="preserve">    GEMA M4+ (P2)</t>
        </is>
      </c>
      <c r="B103" s="18">
        <f>IF(1&gt;=4,Assumptions!B80,0)</f>
        <v/>
      </c>
      <c r="C103" s="18">
        <f>IF(2&gt;=4,Assumptions!B80,0)</f>
        <v/>
      </c>
      <c r="D103" s="18">
        <f>IF(3&gt;=4,Assumptions!B80,0)</f>
        <v/>
      </c>
      <c r="E103" s="18">
        <f>IF(4&gt;=4,Assumptions!B80,0)</f>
        <v/>
      </c>
      <c r="F103" s="18">
        <f>IF(5&gt;=4,Assumptions!B80,0)</f>
        <v/>
      </c>
      <c r="G103" s="18">
        <f>IF(6&gt;=4,Assumptions!B80,0)</f>
        <v/>
      </c>
      <c r="H103" s="18">
        <f>IF(7&gt;=4,Assumptions!B80,0)</f>
        <v/>
      </c>
      <c r="I103" s="18">
        <f>IF(8&gt;=4,Assumptions!B80,0)</f>
        <v/>
      </c>
      <c r="J103" s="18">
        <f>IF(9&gt;=4,Assumptions!B80,0)</f>
        <v/>
      </c>
      <c r="K103" s="18">
        <f>IF(10&gt;=4,Assumptions!B80,0)</f>
        <v/>
      </c>
      <c r="L103" s="18">
        <f>IF(11&gt;=4,Assumptions!B80,0)</f>
        <v/>
      </c>
      <c r="M103" s="18">
        <f>IF(12&gt;=4,Assumptions!B80,0)</f>
        <v/>
      </c>
      <c r="N103" s="18">
        <f>IF(13&gt;=4,Assumptions!B80,0)</f>
        <v/>
      </c>
      <c r="O103" s="18">
        <f>IF(14&gt;=4,Assumptions!B80,0)</f>
        <v/>
      </c>
      <c r="P103" s="18">
        <f>IF(15&gt;=4,Assumptions!B80,0)</f>
        <v/>
      </c>
      <c r="Q103" s="18">
        <f>IF(16&gt;=4,Assumptions!B80,0)</f>
        <v/>
      </c>
      <c r="R103" s="18">
        <f>IF(17&gt;=4,Assumptions!B80,0)</f>
        <v/>
      </c>
      <c r="S103" s="18">
        <f>IF(18&gt;=4,Assumptions!B80,0)</f>
        <v/>
      </c>
      <c r="T103" s="18">
        <f>IF(19&gt;=4,Assumptions!B80,0)</f>
        <v/>
      </c>
      <c r="U103" s="18">
        <f>IF(20&gt;=4,Assumptions!B80,0)</f>
        <v/>
      </c>
      <c r="V103" s="18">
        <f>IF(21&gt;=4,Assumptions!B80,0)</f>
        <v/>
      </c>
      <c r="W103" s="18">
        <f>IF(22&gt;=4,Assumptions!B80,0)</f>
        <v/>
      </c>
      <c r="X103" s="18">
        <f>IF(23&gt;=4,Assumptions!B80,0)</f>
        <v/>
      </c>
      <c r="Y103" s="18">
        <f>IF(24&gt;=4,Assumptions!B80,0)</f>
        <v/>
      </c>
      <c r="Z103" s="18">
        <f>SUM(B103:Y103)</f>
        <v/>
      </c>
    </row>
    <row r="104">
      <c r="A104" s="17" t="inlineStr">
        <is>
          <t xml:space="preserve">    Rundfunkbeitrag M4+ (P2 — fix: starts when space opens)</t>
        </is>
      </c>
      <c r="B104" s="18">
        <f>IF(1&gt;=4,Assumptions!B81,0)</f>
        <v/>
      </c>
      <c r="C104" s="18">
        <f>IF(2&gt;=4,Assumptions!B81,0)</f>
        <v/>
      </c>
      <c r="D104" s="18">
        <f>IF(3&gt;=4,Assumptions!B81,0)</f>
        <v/>
      </c>
      <c r="E104" s="18">
        <f>IF(4&gt;=4,Assumptions!B81,0)</f>
        <v/>
      </c>
      <c r="F104" s="18">
        <f>IF(5&gt;=4,Assumptions!B81,0)</f>
        <v/>
      </c>
      <c r="G104" s="18">
        <f>IF(6&gt;=4,Assumptions!B81,0)</f>
        <v/>
      </c>
      <c r="H104" s="18">
        <f>IF(7&gt;=4,Assumptions!B81,0)</f>
        <v/>
      </c>
      <c r="I104" s="18">
        <f>IF(8&gt;=4,Assumptions!B81,0)</f>
        <v/>
      </c>
      <c r="J104" s="18">
        <f>IF(9&gt;=4,Assumptions!B81,0)</f>
        <v/>
      </c>
      <c r="K104" s="18">
        <f>IF(10&gt;=4,Assumptions!B81,0)</f>
        <v/>
      </c>
      <c r="L104" s="18">
        <f>IF(11&gt;=4,Assumptions!B81,0)</f>
        <v/>
      </c>
      <c r="M104" s="18">
        <f>IF(12&gt;=4,Assumptions!B81,0)</f>
        <v/>
      </c>
      <c r="N104" s="18">
        <f>IF(13&gt;=4,Assumptions!B81,0)</f>
        <v/>
      </c>
      <c r="O104" s="18">
        <f>IF(14&gt;=4,Assumptions!B81,0)</f>
        <v/>
      </c>
      <c r="P104" s="18">
        <f>IF(15&gt;=4,Assumptions!B81,0)</f>
        <v/>
      </c>
      <c r="Q104" s="18">
        <f>IF(16&gt;=4,Assumptions!B81,0)</f>
        <v/>
      </c>
      <c r="R104" s="18">
        <f>IF(17&gt;=4,Assumptions!B81,0)</f>
        <v/>
      </c>
      <c r="S104" s="18">
        <f>IF(18&gt;=4,Assumptions!B81,0)</f>
        <v/>
      </c>
      <c r="T104" s="18">
        <f>IF(19&gt;=4,Assumptions!B81,0)</f>
        <v/>
      </c>
      <c r="U104" s="18">
        <f>IF(20&gt;=4,Assumptions!B81,0)</f>
        <v/>
      </c>
      <c r="V104" s="18">
        <f>IF(21&gt;=4,Assumptions!B81,0)</f>
        <v/>
      </c>
      <c r="W104" s="18">
        <f>IF(22&gt;=4,Assumptions!B81,0)</f>
        <v/>
      </c>
      <c r="X104" s="18">
        <f>IF(23&gt;=4,Assumptions!B81,0)</f>
        <v/>
      </c>
      <c r="Y104" s="18">
        <f>IF(24&gt;=4,Assumptions!B81,0)</f>
        <v/>
      </c>
      <c r="Z104" s="18">
        <f>SUM(B104:Y104)</f>
        <v/>
      </c>
    </row>
    <row r="105">
      <c r="A105" s="17" t="inlineStr">
        <is>
          <t xml:space="preserve">    Verpackungsgesetz (P2)</t>
        </is>
      </c>
      <c r="B105" s="18">
        <f>Assumptions!B82</f>
        <v/>
      </c>
      <c r="C105" s="18">
        <f>Assumptions!B82</f>
        <v/>
      </c>
      <c r="D105" s="18">
        <f>Assumptions!B82</f>
        <v/>
      </c>
      <c r="E105" s="18">
        <f>Assumptions!B82</f>
        <v/>
      </c>
      <c r="F105" s="18">
        <f>Assumptions!B82</f>
        <v/>
      </c>
      <c r="G105" s="18">
        <f>Assumptions!B82</f>
        <v/>
      </c>
      <c r="H105" s="18">
        <f>Assumptions!B82</f>
        <v/>
      </c>
      <c r="I105" s="18">
        <f>Assumptions!B82</f>
        <v/>
      </c>
      <c r="J105" s="18">
        <f>Assumptions!B82</f>
        <v/>
      </c>
      <c r="K105" s="18">
        <f>Assumptions!B82</f>
        <v/>
      </c>
      <c r="L105" s="18">
        <f>Assumptions!B82</f>
        <v/>
      </c>
      <c r="M105" s="18">
        <f>Assumptions!B82</f>
        <v/>
      </c>
      <c r="N105" s="18">
        <f>Assumptions!B82</f>
        <v/>
      </c>
      <c r="O105" s="18">
        <f>Assumptions!B82</f>
        <v/>
      </c>
      <c r="P105" s="18">
        <f>Assumptions!B82</f>
        <v/>
      </c>
      <c r="Q105" s="18">
        <f>Assumptions!B82</f>
        <v/>
      </c>
      <c r="R105" s="18">
        <f>Assumptions!B82</f>
        <v/>
      </c>
      <c r="S105" s="18">
        <f>Assumptions!B82</f>
        <v/>
      </c>
      <c r="T105" s="18">
        <f>Assumptions!B82</f>
        <v/>
      </c>
      <c r="U105" s="18">
        <f>Assumptions!B82</f>
        <v/>
      </c>
      <c r="V105" s="18">
        <f>Assumptions!B82</f>
        <v/>
      </c>
      <c r="W105" s="18">
        <f>Assumptions!B82</f>
        <v/>
      </c>
      <c r="X105" s="18">
        <f>Assumptions!B82</f>
        <v/>
      </c>
      <c r="Y105" s="18">
        <f>Assumptions!B82</f>
        <v/>
      </c>
      <c r="Z105" s="18">
        <f>SUM(B105:Y105)</f>
        <v/>
      </c>
    </row>
    <row r="106">
      <c r="A106" s="17" t="inlineStr">
        <is>
          <t xml:space="preserve">    Bank Fees (P5)</t>
        </is>
      </c>
      <c r="B106" s="18">
        <f>Assumptions!B94</f>
        <v/>
      </c>
      <c r="C106" s="18">
        <f>Assumptions!B94</f>
        <v/>
      </c>
      <c r="D106" s="18">
        <f>Assumptions!B94</f>
        <v/>
      </c>
      <c r="E106" s="18">
        <f>Assumptions!B94</f>
        <v/>
      </c>
      <c r="F106" s="18">
        <f>Assumptions!B94</f>
        <v/>
      </c>
      <c r="G106" s="18">
        <f>Assumptions!B94</f>
        <v/>
      </c>
      <c r="H106" s="18">
        <f>Assumptions!B94</f>
        <v/>
      </c>
      <c r="I106" s="18">
        <f>Assumptions!B94</f>
        <v/>
      </c>
      <c r="J106" s="18">
        <f>Assumptions!B94</f>
        <v/>
      </c>
      <c r="K106" s="18">
        <f>Assumptions!B94</f>
        <v/>
      </c>
      <c r="L106" s="18">
        <f>Assumptions!B94</f>
        <v/>
      </c>
      <c r="M106" s="18">
        <f>Assumptions!B94</f>
        <v/>
      </c>
      <c r="N106" s="18">
        <f>Assumptions!B94</f>
        <v/>
      </c>
      <c r="O106" s="18">
        <f>Assumptions!B94</f>
        <v/>
      </c>
      <c r="P106" s="18">
        <f>Assumptions!B94</f>
        <v/>
      </c>
      <c r="Q106" s="18">
        <f>Assumptions!B94</f>
        <v/>
      </c>
      <c r="R106" s="18">
        <f>Assumptions!B94</f>
        <v/>
      </c>
      <c r="S106" s="18">
        <f>Assumptions!B94</f>
        <v/>
      </c>
      <c r="T106" s="18">
        <f>Assumptions!B94</f>
        <v/>
      </c>
      <c r="U106" s="18">
        <f>Assumptions!B94</f>
        <v/>
      </c>
      <c r="V106" s="18">
        <f>Assumptions!B94</f>
        <v/>
      </c>
      <c r="W106" s="18">
        <f>Assumptions!B94</f>
        <v/>
      </c>
      <c r="X106" s="18">
        <f>Assumptions!B94</f>
        <v/>
      </c>
      <c r="Y106" s="18">
        <f>Assumptions!B94</f>
        <v/>
      </c>
      <c r="Z106" s="18">
        <f>SUM(B106:Y106)</f>
        <v/>
      </c>
    </row>
    <row r="107">
      <c r="A107" s="17" t="inlineStr">
        <is>
          <t xml:space="preserve">    Permits &amp; Licenses (M3)</t>
        </is>
      </c>
      <c r="B107" s="18">
        <f>IF(1=3,500,0)</f>
        <v/>
      </c>
      <c r="C107" s="18">
        <f>IF(2=3,500,0)</f>
        <v/>
      </c>
      <c r="D107" s="18">
        <f>IF(3=3,500,0)</f>
        <v/>
      </c>
      <c r="E107" s="18">
        <f>IF(4=3,500,0)</f>
        <v/>
      </c>
      <c r="F107" s="18">
        <f>IF(5=3,500,0)</f>
        <v/>
      </c>
      <c r="G107" s="18">
        <f>IF(6=3,500,0)</f>
        <v/>
      </c>
      <c r="H107" s="18">
        <f>IF(7=3,500,0)</f>
        <v/>
      </c>
      <c r="I107" s="18">
        <f>IF(8=3,500,0)</f>
        <v/>
      </c>
      <c r="J107" s="18">
        <f>IF(9=3,500,0)</f>
        <v/>
      </c>
      <c r="K107" s="18">
        <f>IF(10=3,500,0)</f>
        <v/>
      </c>
      <c r="L107" s="18">
        <f>IF(11=3,500,0)</f>
        <v/>
      </c>
      <c r="M107" s="18">
        <f>IF(12=3,500,0)</f>
        <v/>
      </c>
      <c r="N107" s="18">
        <f>IF(13=3,500,0)</f>
        <v/>
      </c>
      <c r="O107" s="18">
        <f>IF(14=3,500,0)</f>
        <v/>
      </c>
      <c r="P107" s="18">
        <f>IF(15=3,500,0)</f>
        <v/>
      </c>
      <c r="Q107" s="18">
        <f>IF(16=3,500,0)</f>
        <v/>
      </c>
      <c r="R107" s="18">
        <f>IF(17=3,500,0)</f>
        <v/>
      </c>
      <c r="S107" s="18">
        <f>IF(18=3,500,0)</f>
        <v/>
      </c>
      <c r="T107" s="18">
        <f>IF(19=3,500,0)</f>
        <v/>
      </c>
      <c r="U107" s="18">
        <f>IF(20=3,500,0)</f>
        <v/>
      </c>
      <c r="V107" s="18">
        <f>IF(21=3,500,0)</f>
        <v/>
      </c>
      <c r="W107" s="18">
        <f>IF(22=3,500,0)</f>
        <v/>
      </c>
      <c r="X107" s="18">
        <f>IF(23=3,500,0)</f>
        <v/>
      </c>
      <c r="Y107" s="18">
        <f>IF(24=3,500,0)</f>
        <v/>
      </c>
      <c r="Z107" s="18">
        <f>SUM(B107:Y107)</f>
        <v/>
      </c>
    </row>
    <row r="108">
      <c r="A108" s="22" t="inlineStr">
        <is>
          <t xml:space="preserve">    G&amp;A Total</t>
        </is>
      </c>
      <c r="B108" s="23">
        <f>B85+B86+B87+B88+B89+B90+B91+B92+B93+B94+B95+B96+B97+B98+B99+B100+B101+B102+B103+B104+B105+B106+B107</f>
        <v/>
      </c>
      <c r="C108" s="23">
        <f>C85+C86+C87+C88+C89+C90+C91+C92+C93+C94+C95+C96+C97+C98+C99+C100+C101+C102+C103+C104+C105+C106+C107</f>
        <v/>
      </c>
      <c r="D108" s="23">
        <f>D85+D86+D87+D88+D89+D90+D91+D92+D93+D94+D95+D96+D97+D98+D99+D100+D101+D102+D103+D104+D105+D106+D107</f>
        <v/>
      </c>
      <c r="E108" s="23">
        <f>E85+E86+E87+E88+E89+E90+E91+E92+E93+E94+E95+E96+E97+E98+E99+E100+E101+E102+E103+E104+E105+E106+E107</f>
        <v/>
      </c>
      <c r="F108" s="23">
        <f>F85+F86+F87+F88+F89+F90+F91+F92+F93+F94+F95+F96+F97+F98+F99+F100+F101+F102+F103+F104+F105+F106+F107</f>
        <v/>
      </c>
      <c r="G108" s="23">
        <f>G85+G86+G87+G88+G89+G90+G91+G92+G93+G94+G95+G96+G97+G98+G99+G100+G101+G102+G103+G104+G105+G106+G107</f>
        <v/>
      </c>
      <c r="H108" s="23">
        <f>H85+H86+H87+H88+H89+H90+H91+H92+H93+H94+H95+H96+H97+H98+H99+H100+H101+H102+H103+H104+H105+H106+H107</f>
        <v/>
      </c>
      <c r="I108" s="23">
        <f>I85+I86+I87+I88+I89+I90+I91+I92+I93+I94+I95+I96+I97+I98+I99+I100+I101+I102+I103+I104+I105+I106+I107</f>
        <v/>
      </c>
      <c r="J108" s="23">
        <f>J85+J86+J87+J88+J89+J90+J91+J92+J93+J94+J95+J96+J97+J98+J99+J100+J101+J102+J103+J104+J105+J106+J107</f>
        <v/>
      </c>
      <c r="K108" s="23">
        <f>K85+K86+K87+K88+K89+K90+K91+K92+K93+K94+K95+K96+K97+K98+K99+K100+K101+K102+K103+K104+K105+K106+K107</f>
        <v/>
      </c>
      <c r="L108" s="23">
        <f>L85+L86+L87+L88+L89+L90+L91+L92+L93+L94+L95+L96+L97+L98+L99+L100+L101+L102+L103+L104+L105+L106+L107</f>
        <v/>
      </c>
      <c r="M108" s="23">
        <f>M85+M86+M87+M88+M89+M90+M91+M92+M93+M94+M95+M96+M97+M98+M99+M100+M101+M102+M103+M104+M105+M106+M107</f>
        <v/>
      </c>
      <c r="N108" s="23">
        <f>N85+N86+N87+N88+N89+N90+N91+N92+N93+N94+N95+N96+N97+N98+N99+N100+N101+N102+N103+N104+N105+N106+N107</f>
        <v/>
      </c>
      <c r="O108" s="23">
        <f>O85+O86+O87+O88+O89+O90+O91+O92+O93+O94+O95+O96+O97+O98+O99+O100+O101+O102+O103+O104+O105+O106+O107</f>
        <v/>
      </c>
      <c r="P108" s="23">
        <f>P85+P86+P87+P88+P89+P90+P91+P92+P93+P94+P95+P96+P97+P98+P99+P100+P101+P102+P103+P104+P105+P106+P107</f>
        <v/>
      </c>
      <c r="Q108" s="23">
        <f>Q85+Q86+Q87+Q88+Q89+Q90+Q91+Q92+Q93+Q94+Q95+Q96+Q97+Q98+Q99+Q100+Q101+Q102+Q103+Q104+Q105+Q106+Q107</f>
        <v/>
      </c>
      <c r="R108" s="23">
        <f>R85+R86+R87+R88+R89+R90+R91+R92+R93+R94+R95+R96+R97+R98+R99+R100+R101+R102+R103+R104+R105+R106+R107</f>
        <v/>
      </c>
      <c r="S108" s="23">
        <f>S85+S86+S87+S88+S89+S90+S91+S92+S93+S94+S95+S96+S97+S98+S99+S100+S101+S102+S103+S104+S105+S106+S107</f>
        <v/>
      </c>
      <c r="T108" s="23">
        <f>T85+T86+T87+T88+T89+T90+T91+T92+T93+T94+T95+T96+T97+T98+T99+T100+T101+T102+T103+T104+T105+T106+T107</f>
        <v/>
      </c>
      <c r="U108" s="23">
        <f>U85+U86+U87+U88+U89+U90+U91+U92+U93+U94+U95+U96+U97+U98+U99+U100+U101+U102+U103+U104+U105+U106+U107</f>
        <v/>
      </c>
      <c r="V108" s="23">
        <f>V85+V86+V87+V88+V89+V90+V91+V92+V93+V94+V95+V96+V97+V98+V99+V100+V101+V102+V103+V104+V105+V106+V107</f>
        <v/>
      </c>
      <c r="W108" s="23">
        <f>W85+W86+W87+W88+W89+W90+W91+W92+W93+W94+W95+W96+W97+W98+W99+W100+W101+W102+W103+W104+W105+W106+W107</f>
        <v/>
      </c>
      <c r="X108" s="23">
        <f>X85+X86+X87+X88+X89+X90+X91+X92+X93+X94+X95+X96+X97+X98+X99+X100+X101+X102+X103+X104+X105+X106+X107</f>
        <v/>
      </c>
      <c r="Y108" s="23">
        <f>Y85+Y86+Y87+Y88+Y89+Y90+Y91+Y92+Y93+Y94+Y95+Y96+Y97+Y98+Y99+Y100+Y101+Y102+Y103+Y104+Y105+Y106+Y107</f>
        <v/>
      </c>
      <c r="Z108" s="23">
        <f>SUM(B108:Y108)</f>
        <v/>
      </c>
    </row>
    <row r="109">
      <c r="A109" s="9" t="inlineStr">
        <is>
          <t xml:space="preserve">  Management &amp; APIs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>
      <c r="A110" s="17" t="inlineStr">
        <is>
          <t xml:space="preserve">    SaaS Stack (D9)</t>
        </is>
      </c>
      <c r="B110" s="18">
        <f>IF(1&lt;=6,Assumptions!B58,IF(1&lt;=12,Assumptions!B59,Assumptions!B60))</f>
        <v/>
      </c>
      <c r="C110" s="18">
        <f>IF(2&lt;=6,Assumptions!B58,IF(2&lt;=12,Assumptions!B59,Assumptions!B60))</f>
        <v/>
      </c>
      <c r="D110" s="18">
        <f>IF(3&lt;=6,Assumptions!B58,IF(3&lt;=12,Assumptions!B59,Assumptions!B60))</f>
        <v/>
      </c>
      <c r="E110" s="18">
        <f>IF(4&lt;=6,Assumptions!B58,IF(4&lt;=12,Assumptions!B59,Assumptions!B60))</f>
        <v/>
      </c>
      <c r="F110" s="18">
        <f>IF(5&lt;=6,Assumptions!B58,IF(5&lt;=12,Assumptions!B59,Assumptions!B60))</f>
        <v/>
      </c>
      <c r="G110" s="18">
        <f>IF(6&lt;=6,Assumptions!B58,IF(6&lt;=12,Assumptions!B59,Assumptions!B60))</f>
        <v/>
      </c>
      <c r="H110" s="18">
        <f>IF(7&lt;=6,Assumptions!B58,IF(7&lt;=12,Assumptions!B59,Assumptions!B60))</f>
        <v/>
      </c>
      <c r="I110" s="18">
        <f>IF(8&lt;=6,Assumptions!B58,IF(8&lt;=12,Assumptions!B59,Assumptions!B60))</f>
        <v/>
      </c>
      <c r="J110" s="18">
        <f>IF(9&lt;=6,Assumptions!B58,IF(9&lt;=12,Assumptions!B59,Assumptions!B60))</f>
        <v/>
      </c>
      <c r="K110" s="18">
        <f>IF(10&lt;=6,Assumptions!B58,IF(10&lt;=12,Assumptions!B59,Assumptions!B60))</f>
        <v/>
      </c>
      <c r="L110" s="18">
        <f>IF(11&lt;=6,Assumptions!B58,IF(11&lt;=12,Assumptions!B59,Assumptions!B60))</f>
        <v/>
      </c>
      <c r="M110" s="18">
        <f>IF(12&lt;=6,Assumptions!B58,IF(12&lt;=12,Assumptions!B59,Assumptions!B60))</f>
        <v/>
      </c>
      <c r="N110" s="18">
        <f>IF(13&lt;=6,Assumptions!B58,IF(13&lt;=12,Assumptions!B59,Assumptions!B60))</f>
        <v/>
      </c>
      <c r="O110" s="18">
        <f>IF(14&lt;=6,Assumptions!B58,IF(14&lt;=12,Assumptions!B59,Assumptions!B60))</f>
        <v/>
      </c>
      <c r="P110" s="18">
        <f>IF(15&lt;=6,Assumptions!B58,IF(15&lt;=12,Assumptions!B59,Assumptions!B60))</f>
        <v/>
      </c>
      <c r="Q110" s="18">
        <f>IF(16&lt;=6,Assumptions!B58,IF(16&lt;=12,Assumptions!B59,Assumptions!B60))</f>
        <v/>
      </c>
      <c r="R110" s="18">
        <f>IF(17&lt;=6,Assumptions!B58,IF(17&lt;=12,Assumptions!B59,Assumptions!B60))</f>
        <v/>
      </c>
      <c r="S110" s="18">
        <f>IF(18&lt;=6,Assumptions!B58,IF(18&lt;=12,Assumptions!B59,Assumptions!B60))</f>
        <v/>
      </c>
      <c r="T110" s="18">
        <f>IF(19&lt;=6,Assumptions!B58,IF(19&lt;=12,Assumptions!B59,Assumptions!B60))</f>
        <v/>
      </c>
      <c r="U110" s="18">
        <f>IF(20&lt;=6,Assumptions!B58,IF(20&lt;=12,Assumptions!B59,Assumptions!B60))</f>
        <v/>
      </c>
      <c r="V110" s="18">
        <f>IF(21&lt;=6,Assumptions!B58,IF(21&lt;=12,Assumptions!B59,Assumptions!B60))</f>
        <v/>
      </c>
      <c r="W110" s="18">
        <f>IF(22&lt;=6,Assumptions!B58,IF(22&lt;=12,Assumptions!B59,Assumptions!B60))</f>
        <v/>
      </c>
      <c r="X110" s="18">
        <f>IF(23&lt;=6,Assumptions!B58,IF(23&lt;=12,Assumptions!B59,Assumptions!B60))</f>
        <v/>
      </c>
      <c r="Y110" s="18">
        <f>IF(24&lt;=6,Assumptions!B58,IF(24&lt;=12,Assumptions!B59,Assumptions!B60))</f>
        <v/>
      </c>
      <c r="Z110" s="18">
        <f>SUM(B110:Y110)</f>
        <v/>
      </c>
    </row>
    <row r="111">
      <c r="A111" s="17" t="inlineStr">
        <is>
          <t xml:space="preserve">    Claude Max (internal)</t>
        </is>
      </c>
      <c r="B111" s="18">
        <f>Assumptions!B57</f>
        <v/>
      </c>
      <c r="C111" s="18">
        <f>Assumptions!B57</f>
        <v/>
      </c>
      <c r="D111" s="18">
        <f>Assumptions!B57</f>
        <v/>
      </c>
      <c r="E111" s="18">
        <f>Assumptions!B57</f>
        <v/>
      </c>
      <c r="F111" s="18">
        <f>Assumptions!B57</f>
        <v/>
      </c>
      <c r="G111" s="18">
        <f>Assumptions!B57</f>
        <v/>
      </c>
      <c r="H111" s="18">
        <f>Assumptions!B57</f>
        <v/>
      </c>
      <c r="I111" s="18">
        <f>Assumptions!B57</f>
        <v/>
      </c>
      <c r="J111" s="18">
        <f>Assumptions!B57</f>
        <v/>
      </c>
      <c r="K111" s="18">
        <f>Assumptions!B57</f>
        <v/>
      </c>
      <c r="L111" s="18">
        <f>Assumptions!B57</f>
        <v/>
      </c>
      <c r="M111" s="18">
        <f>Assumptions!B57</f>
        <v/>
      </c>
      <c r="N111" s="18">
        <f>Assumptions!B57</f>
        <v/>
      </c>
      <c r="O111" s="18">
        <f>Assumptions!B57</f>
        <v/>
      </c>
      <c r="P111" s="18">
        <f>Assumptions!B57</f>
        <v/>
      </c>
      <c r="Q111" s="18">
        <f>Assumptions!B57</f>
        <v/>
      </c>
      <c r="R111" s="18">
        <f>Assumptions!B57</f>
        <v/>
      </c>
      <c r="S111" s="18">
        <f>Assumptions!B57</f>
        <v/>
      </c>
      <c r="T111" s="18">
        <f>Assumptions!B57</f>
        <v/>
      </c>
      <c r="U111" s="18">
        <f>Assumptions!B57</f>
        <v/>
      </c>
      <c r="V111" s="18">
        <f>Assumptions!B57</f>
        <v/>
      </c>
      <c r="W111" s="18">
        <f>Assumptions!B57</f>
        <v/>
      </c>
      <c r="X111" s="18">
        <f>Assumptions!B57</f>
        <v/>
      </c>
      <c r="Y111" s="18">
        <f>Assumptions!B57</f>
        <v/>
      </c>
      <c r="Z111" s="18">
        <f>SUM(B111:Y111)</f>
        <v/>
      </c>
    </row>
    <row r="112">
      <c r="A112" s="22" t="inlineStr">
        <is>
          <t xml:space="preserve">    Management Total</t>
        </is>
      </c>
      <c r="B112" s="23">
        <f>B110+B111</f>
        <v/>
      </c>
      <c r="C112" s="23">
        <f>C110+C111</f>
        <v/>
      </c>
      <c r="D112" s="23">
        <f>D110+D111</f>
        <v/>
      </c>
      <c r="E112" s="23">
        <f>E110+E111</f>
        <v/>
      </c>
      <c r="F112" s="23">
        <f>F110+F111</f>
        <v/>
      </c>
      <c r="G112" s="23">
        <f>G110+G111</f>
        <v/>
      </c>
      <c r="H112" s="23">
        <f>H110+H111</f>
        <v/>
      </c>
      <c r="I112" s="23">
        <f>I110+I111</f>
        <v/>
      </c>
      <c r="J112" s="23">
        <f>J110+J111</f>
        <v/>
      </c>
      <c r="K112" s="23">
        <f>K110+K111</f>
        <v/>
      </c>
      <c r="L112" s="23">
        <f>L110+L111</f>
        <v/>
      </c>
      <c r="M112" s="23">
        <f>M110+M111</f>
        <v/>
      </c>
      <c r="N112" s="23">
        <f>N110+N111</f>
        <v/>
      </c>
      <c r="O112" s="23">
        <f>O110+O111</f>
        <v/>
      </c>
      <c r="P112" s="23">
        <f>P110+P111</f>
        <v/>
      </c>
      <c r="Q112" s="23">
        <f>Q110+Q111</f>
        <v/>
      </c>
      <c r="R112" s="23">
        <f>R110+R111</f>
        <v/>
      </c>
      <c r="S112" s="23">
        <f>S110+S111</f>
        <v/>
      </c>
      <c r="T112" s="23">
        <f>T110+T111</f>
        <v/>
      </c>
      <c r="U112" s="23">
        <f>U110+U111</f>
        <v/>
      </c>
      <c r="V112" s="23">
        <f>V110+V111</f>
        <v/>
      </c>
      <c r="W112" s="23">
        <f>W110+W111</f>
        <v/>
      </c>
      <c r="X112" s="23">
        <f>X110+X111</f>
        <v/>
      </c>
      <c r="Y112" s="23">
        <f>Y110+Y111</f>
        <v/>
      </c>
      <c r="Z112" s="23">
        <f>SUM(B112:Y112)</f>
        <v/>
      </c>
    </row>
    <row r="113">
      <c r="A113" s="9" t="inlineStr">
        <is>
          <t xml:space="preserve">  Travel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>
      <c r="A114" s="17" t="inlineStr">
        <is>
          <t xml:space="preserve">    Investor Travel</t>
        </is>
      </c>
      <c r="B114" s="18">
        <f>Assumptions!B88</f>
        <v/>
      </c>
      <c r="C114" s="18">
        <f>Assumptions!B88</f>
        <v/>
      </c>
      <c r="D114" s="18">
        <f>Assumptions!B88</f>
        <v/>
      </c>
      <c r="E114" s="18">
        <f>Assumptions!B88</f>
        <v/>
      </c>
      <c r="F114" s="18">
        <f>Assumptions!B88</f>
        <v/>
      </c>
      <c r="G114" s="18">
        <f>Assumptions!B88</f>
        <v/>
      </c>
      <c r="H114" s="18">
        <f>Assumptions!B88</f>
        <v/>
      </c>
      <c r="I114" s="18">
        <f>Assumptions!B88</f>
        <v/>
      </c>
      <c r="J114" s="18">
        <f>Assumptions!B88</f>
        <v/>
      </c>
      <c r="K114" s="18">
        <f>Assumptions!B88</f>
        <v/>
      </c>
      <c r="L114" s="18">
        <f>Assumptions!B88</f>
        <v/>
      </c>
      <c r="M114" s="18">
        <f>Assumptions!B88</f>
        <v/>
      </c>
      <c r="N114" s="18">
        <f>Assumptions!B88</f>
        <v/>
      </c>
      <c r="O114" s="18">
        <f>Assumptions!B88</f>
        <v/>
      </c>
      <c r="P114" s="18">
        <f>Assumptions!B88</f>
        <v/>
      </c>
      <c r="Q114" s="18">
        <f>Assumptions!B88</f>
        <v/>
      </c>
      <c r="R114" s="18">
        <f>Assumptions!B88</f>
        <v/>
      </c>
      <c r="S114" s="18">
        <f>Assumptions!B88</f>
        <v/>
      </c>
      <c r="T114" s="18">
        <f>Assumptions!B88</f>
        <v/>
      </c>
      <c r="U114" s="18">
        <f>Assumptions!B88</f>
        <v/>
      </c>
      <c r="V114" s="18">
        <f>Assumptions!B88</f>
        <v/>
      </c>
      <c r="W114" s="18">
        <f>Assumptions!B88</f>
        <v/>
      </c>
      <c r="X114" s="18">
        <f>Assumptions!B88</f>
        <v/>
      </c>
      <c r="Y114" s="18">
        <f>Assumptions!B88</f>
        <v/>
      </c>
      <c r="Z114" s="18">
        <f>SUM(B114:Y114)</f>
        <v/>
      </c>
    </row>
    <row r="115">
      <c r="A115" s="17" t="inlineStr">
        <is>
          <t xml:space="preserve">    Conferences (M7+)</t>
        </is>
      </c>
      <c r="B115" s="18">
        <f>IF(1&gt;=7,Assumptions!B89,0)</f>
        <v/>
      </c>
      <c r="C115" s="18">
        <f>IF(2&gt;=7,Assumptions!B89,0)</f>
        <v/>
      </c>
      <c r="D115" s="18">
        <f>IF(3&gt;=7,Assumptions!B89,0)</f>
        <v/>
      </c>
      <c r="E115" s="18">
        <f>IF(4&gt;=7,Assumptions!B89,0)</f>
        <v/>
      </c>
      <c r="F115" s="18">
        <f>IF(5&gt;=7,Assumptions!B89,0)</f>
        <v/>
      </c>
      <c r="G115" s="18">
        <f>IF(6&gt;=7,Assumptions!B89,0)</f>
        <v/>
      </c>
      <c r="H115" s="18">
        <f>IF(7&gt;=7,Assumptions!B89,0)</f>
        <v/>
      </c>
      <c r="I115" s="18">
        <f>IF(8&gt;=7,Assumptions!B89,0)</f>
        <v/>
      </c>
      <c r="J115" s="18">
        <f>IF(9&gt;=7,Assumptions!B89,0)</f>
        <v/>
      </c>
      <c r="K115" s="18">
        <f>IF(10&gt;=7,Assumptions!B89,0)</f>
        <v/>
      </c>
      <c r="L115" s="18">
        <f>IF(11&gt;=7,Assumptions!B89,0)</f>
        <v/>
      </c>
      <c r="M115" s="18">
        <f>IF(12&gt;=7,Assumptions!B89,0)</f>
        <v/>
      </c>
      <c r="N115" s="18">
        <f>IF(13&gt;=7,Assumptions!B89,0)</f>
        <v/>
      </c>
      <c r="O115" s="18">
        <f>IF(14&gt;=7,Assumptions!B89,0)</f>
        <v/>
      </c>
      <c r="P115" s="18">
        <f>IF(15&gt;=7,Assumptions!B89,0)</f>
        <v/>
      </c>
      <c r="Q115" s="18">
        <f>IF(16&gt;=7,Assumptions!B89,0)</f>
        <v/>
      </c>
      <c r="R115" s="18">
        <f>IF(17&gt;=7,Assumptions!B89,0)</f>
        <v/>
      </c>
      <c r="S115" s="18">
        <f>IF(18&gt;=7,Assumptions!B89,0)</f>
        <v/>
      </c>
      <c r="T115" s="18">
        <f>IF(19&gt;=7,Assumptions!B89,0)</f>
        <v/>
      </c>
      <c r="U115" s="18">
        <f>IF(20&gt;=7,Assumptions!B89,0)</f>
        <v/>
      </c>
      <c r="V115" s="18">
        <f>IF(21&gt;=7,Assumptions!B89,0)</f>
        <v/>
      </c>
      <c r="W115" s="18">
        <f>IF(22&gt;=7,Assumptions!B89,0)</f>
        <v/>
      </c>
      <c r="X115" s="18">
        <f>IF(23&gt;=7,Assumptions!B89,0)</f>
        <v/>
      </c>
      <c r="Y115" s="18">
        <f>IF(24&gt;=7,Assumptions!B89,0)</f>
        <v/>
      </c>
      <c r="Z115" s="18">
        <f>SUM(B115:Y115)</f>
        <v/>
      </c>
    </row>
    <row r="116">
      <c r="A116" s="17" t="inlineStr">
        <is>
          <t xml:space="preserve">    Local Transport</t>
        </is>
      </c>
      <c r="B116" s="18">
        <f>Assumptions!B90</f>
        <v/>
      </c>
      <c r="C116" s="18">
        <f>Assumptions!B90</f>
        <v/>
      </c>
      <c r="D116" s="18">
        <f>Assumptions!B90</f>
        <v/>
      </c>
      <c r="E116" s="18">
        <f>Assumptions!B90</f>
        <v/>
      </c>
      <c r="F116" s="18">
        <f>Assumptions!B90</f>
        <v/>
      </c>
      <c r="G116" s="18">
        <f>Assumptions!B90</f>
        <v/>
      </c>
      <c r="H116" s="18">
        <f>Assumptions!B90</f>
        <v/>
      </c>
      <c r="I116" s="18">
        <f>Assumptions!B90</f>
        <v/>
      </c>
      <c r="J116" s="18">
        <f>Assumptions!B90</f>
        <v/>
      </c>
      <c r="K116" s="18">
        <f>Assumptions!B90</f>
        <v/>
      </c>
      <c r="L116" s="18">
        <f>Assumptions!B90</f>
        <v/>
      </c>
      <c r="M116" s="18">
        <f>Assumptions!B90</f>
        <v/>
      </c>
      <c r="N116" s="18">
        <f>Assumptions!B90</f>
        <v/>
      </c>
      <c r="O116" s="18">
        <f>Assumptions!B90</f>
        <v/>
      </c>
      <c r="P116" s="18">
        <f>Assumptions!B90</f>
        <v/>
      </c>
      <c r="Q116" s="18">
        <f>Assumptions!B90</f>
        <v/>
      </c>
      <c r="R116" s="18">
        <f>Assumptions!B90</f>
        <v/>
      </c>
      <c r="S116" s="18">
        <f>Assumptions!B90</f>
        <v/>
      </c>
      <c r="T116" s="18">
        <f>Assumptions!B90</f>
        <v/>
      </c>
      <c r="U116" s="18">
        <f>Assumptions!B90</f>
        <v/>
      </c>
      <c r="V116" s="18">
        <f>Assumptions!B90</f>
        <v/>
      </c>
      <c r="W116" s="18">
        <f>Assumptions!B90</f>
        <v/>
      </c>
      <c r="X116" s="18">
        <f>Assumptions!B90</f>
        <v/>
      </c>
      <c r="Y116" s="18">
        <f>Assumptions!B90</f>
        <v/>
      </c>
      <c r="Z116" s="18">
        <f>SUM(B116:Y116)</f>
        <v/>
      </c>
    </row>
    <row r="117">
      <c r="A117" s="22" t="inlineStr">
        <is>
          <t xml:space="preserve">    Travel Total</t>
        </is>
      </c>
      <c r="B117" s="23">
        <f>B114+B115+B116</f>
        <v/>
      </c>
      <c r="C117" s="23">
        <f>C114+C115+C116</f>
        <v/>
      </c>
      <c r="D117" s="23">
        <f>D114+D115+D116</f>
        <v/>
      </c>
      <c r="E117" s="23">
        <f>E114+E115+E116</f>
        <v/>
      </c>
      <c r="F117" s="23">
        <f>F114+F115+F116</f>
        <v/>
      </c>
      <c r="G117" s="23">
        <f>G114+G115+G116</f>
        <v/>
      </c>
      <c r="H117" s="23">
        <f>H114+H115+H116</f>
        <v/>
      </c>
      <c r="I117" s="23">
        <f>I114+I115+I116</f>
        <v/>
      </c>
      <c r="J117" s="23">
        <f>J114+J115+J116</f>
        <v/>
      </c>
      <c r="K117" s="23">
        <f>K114+K115+K116</f>
        <v/>
      </c>
      <c r="L117" s="23">
        <f>L114+L115+L116</f>
        <v/>
      </c>
      <c r="M117" s="23">
        <f>M114+M115+M116</f>
        <v/>
      </c>
      <c r="N117" s="23">
        <f>N114+N115+N116</f>
        <v/>
      </c>
      <c r="O117" s="23">
        <f>O114+O115+O116</f>
        <v/>
      </c>
      <c r="P117" s="23">
        <f>P114+P115+P116</f>
        <v/>
      </c>
      <c r="Q117" s="23">
        <f>Q114+Q115+Q116</f>
        <v/>
      </c>
      <c r="R117" s="23">
        <f>R114+R115+R116</f>
        <v/>
      </c>
      <c r="S117" s="23">
        <f>S114+S115+S116</f>
        <v/>
      </c>
      <c r="T117" s="23">
        <f>T114+T115+T116</f>
        <v/>
      </c>
      <c r="U117" s="23">
        <f>U114+U115+U116</f>
        <v/>
      </c>
      <c r="V117" s="23">
        <f>V114+V115+V116</f>
        <v/>
      </c>
      <c r="W117" s="23">
        <f>W114+W115+W116</f>
        <v/>
      </c>
      <c r="X117" s="23">
        <f>X114+X115+X116</f>
        <v/>
      </c>
      <c r="Y117" s="23">
        <f>Y114+Y115+Y116</f>
        <v/>
      </c>
      <c r="Z117" s="23">
        <f>SUM(B117:Y117)</f>
        <v/>
      </c>
    </row>
    <row r="118">
      <c r="A118" s="5" t="inlineStr">
        <is>
          <t xml:space="preserve">  Recruitment — CTO (EX-10: see CapEx contingency row)</t>
        </is>
      </c>
      <c r="B118" s="6">
        <f>0</f>
        <v/>
      </c>
      <c r="C118" s="6">
        <f>0</f>
        <v/>
      </c>
      <c r="D118" s="6">
        <f>0</f>
        <v/>
      </c>
      <c r="E118" s="6">
        <f>0</f>
        <v/>
      </c>
      <c r="F118" s="6">
        <f>0</f>
        <v/>
      </c>
      <c r="G118" s="6">
        <f>0</f>
        <v/>
      </c>
      <c r="H118" s="6">
        <f>0</f>
        <v/>
      </c>
      <c r="I118" s="6">
        <f>0</f>
        <v/>
      </c>
      <c r="J118" s="6">
        <f>0</f>
        <v/>
      </c>
      <c r="K118" s="6">
        <f>0</f>
        <v/>
      </c>
      <c r="L118" s="6">
        <f>0</f>
        <v/>
      </c>
      <c r="M118" s="6">
        <f>0</f>
        <v/>
      </c>
      <c r="N118" s="6">
        <f>0</f>
        <v/>
      </c>
      <c r="O118" s="6">
        <f>0</f>
        <v/>
      </c>
      <c r="P118" s="6">
        <f>0</f>
        <v/>
      </c>
      <c r="Q118" s="6">
        <f>0</f>
        <v/>
      </c>
      <c r="R118" s="6">
        <f>0</f>
        <v/>
      </c>
      <c r="S118" s="6">
        <f>0</f>
        <v/>
      </c>
      <c r="T118" s="6">
        <f>0</f>
        <v/>
      </c>
      <c r="U118" s="6">
        <f>0</f>
        <v/>
      </c>
      <c r="V118" s="6">
        <f>0</f>
        <v/>
      </c>
      <c r="W118" s="6">
        <f>0</f>
        <v/>
      </c>
      <c r="X118" s="6">
        <f>0</f>
        <v/>
      </c>
      <c r="Y118" s="6">
        <f>0</f>
        <v/>
      </c>
      <c r="Z118" s="6">
        <f>SUM(B118:Y118)</f>
        <v/>
      </c>
    </row>
    <row r="119">
      <c r="A119" s="17" t="inlineStr">
        <is>
          <t xml:space="preserve">  CTO Onboarding/Equipment (M18) (P7)</t>
        </is>
      </c>
      <c r="B119" s="18">
        <f>IF(1=18,Assumptions!B52,0)</f>
        <v/>
      </c>
      <c r="C119" s="18">
        <f>IF(2=18,Assumptions!B52,0)</f>
        <v/>
      </c>
      <c r="D119" s="18">
        <f>IF(3=18,Assumptions!B52,0)</f>
        <v/>
      </c>
      <c r="E119" s="18">
        <f>IF(4=18,Assumptions!B52,0)</f>
        <v/>
      </c>
      <c r="F119" s="18">
        <f>IF(5=18,Assumptions!B52,0)</f>
        <v/>
      </c>
      <c r="G119" s="18">
        <f>IF(6=18,Assumptions!B52,0)</f>
        <v/>
      </c>
      <c r="H119" s="18">
        <f>IF(7=18,Assumptions!B52,0)</f>
        <v/>
      </c>
      <c r="I119" s="18">
        <f>IF(8=18,Assumptions!B52,0)</f>
        <v/>
      </c>
      <c r="J119" s="18">
        <f>IF(9=18,Assumptions!B52,0)</f>
        <v/>
      </c>
      <c r="K119" s="18">
        <f>IF(10=18,Assumptions!B52,0)</f>
        <v/>
      </c>
      <c r="L119" s="18">
        <f>IF(11=18,Assumptions!B52,0)</f>
        <v/>
      </c>
      <c r="M119" s="18">
        <f>IF(12=18,Assumptions!B52,0)</f>
        <v/>
      </c>
      <c r="N119" s="18">
        <f>IF(13=18,Assumptions!B52,0)</f>
        <v/>
      </c>
      <c r="O119" s="18">
        <f>IF(14=18,Assumptions!B52,0)</f>
        <v/>
      </c>
      <c r="P119" s="18">
        <f>IF(15=18,Assumptions!B52,0)</f>
        <v/>
      </c>
      <c r="Q119" s="18">
        <f>IF(16=18,Assumptions!B52,0)</f>
        <v/>
      </c>
      <c r="R119" s="18">
        <f>IF(17=18,Assumptions!B52,0)</f>
        <v/>
      </c>
      <c r="S119" s="18">
        <f>IF(18=18,Assumptions!B52,0)</f>
        <v/>
      </c>
      <c r="T119" s="18">
        <f>IF(19=18,Assumptions!B52,0)</f>
        <v/>
      </c>
      <c r="U119" s="18">
        <f>IF(20=18,Assumptions!B52,0)</f>
        <v/>
      </c>
      <c r="V119" s="18">
        <f>IF(21=18,Assumptions!B52,0)</f>
        <v/>
      </c>
      <c r="W119" s="18">
        <f>IF(22=18,Assumptions!B52,0)</f>
        <v/>
      </c>
      <c r="X119" s="18">
        <f>IF(23=18,Assumptions!B52,0)</f>
        <v/>
      </c>
      <c r="Y119" s="18">
        <f>IF(24=18,Assumptions!B52,0)</f>
        <v/>
      </c>
      <c r="Z119" s="18">
        <f>SUM(B119:Y119)</f>
        <v/>
      </c>
    </row>
    <row r="121">
      <c r="A121" s="7" t="inlineStr">
        <is>
          <t xml:space="preserve">  OpEx (pre-contingency)</t>
        </is>
      </c>
      <c r="B121" s="8">
        <f>B78+B83+B108+B112+B117+B118+B119</f>
        <v/>
      </c>
      <c r="C121" s="8">
        <f>C78+C83+C108+C112+C117+C118+C119</f>
        <v/>
      </c>
      <c r="D121" s="8">
        <f>D78+D83+D108+D112+D117+D118+D119</f>
        <v/>
      </c>
      <c r="E121" s="8">
        <f>E78+E83+E108+E112+E117+E118+E119</f>
        <v/>
      </c>
      <c r="F121" s="8">
        <f>F78+F83+F108+F112+F117+F118+F119</f>
        <v/>
      </c>
      <c r="G121" s="8">
        <f>G78+G83+G108+G112+G117+G118+G119</f>
        <v/>
      </c>
      <c r="H121" s="8">
        <f>H78+H83+H108+H112+H117+H118+H119</f>
        <v/>
      </c>
      <c r="I121" s="8">
        <f>I78+I83+I108+I112+I117+I118+I119</f>
        <v/>
      </c>
      <c r="J121" s="8">
        <f>J78+J83+J108+J112+J117+J118+J119</f>
        <v/>
      </c>
      <c r="K121" s="8">
        <f>K78+K83+K108+K112+K117+K118+K119</f>
        <v/>
      </c>
      <c r="L121" s="8">
        <f>L78+L83+L108+L112+L117+L118+L119</f>
        <v/>
      </c>
      <c r="M121" s="8">
        <f>M78+M83+M108+M112+M117+M118+M119</f>
        <v/>
      </c>
      <c r="N121" s="8">
        <f>N78+N83+N108+N112+N117+N118+N119</f>
        <v/>
      </c>
      <c r="O121" s="8">
        <f>O78+O83+O108+O112+O117+O118+O119</f>
        <v/>
      </c>
      <c r="P121" s="8">
        <f>P78+P83+P108+P112+P117+P118+P119</f>
        <v/>
      </c>
      <c r="Q121" s="8">
        <f>Q78+Q83+Q108+Q112+Q117+Q118+Q119</f>
        <v/>
      </c>
      <c r="R121" s="8">
        <f>R78+R83+R108+R112+R117+R118+R119</f>
        <v/>
      </c>
      <c r="S121" s="8">
        <f>S78+S83+S108+S112+S117+S118+S119</f>
        <v/>
      </c>
      <c r="T121" s="8">
        <f>T78+T83+T108+T112+T117+T118+T119</f>
        <v/>
      </c>
      <c r="U121" s="8">
        <f>U78+U83+U108+U112+U117+U118+U119</f>
        <v/>
      </c>
      <c r="V121" s="8">
        <f>V78+V83+V108+V112+V117+V118+V119</f>
        <v/>
      </c>
      <c r="W121" s="8">
        <f>W78+W83+W108+W112+W117+W118+W119</f>
        <v/>
      </c>
      <c r="X121" s="8">
        <f>X78+X83+X108+X112+X117+X118+X119</f>
        <v/>
      </c>
      <c r="Y121" s="8">
        <f>Y78+Y83+Y108+Y112+Y117+Y118+Y119</f>
        <v/>
      </c>
      <c r="Z121" s="8">
        <f>SUM(B121:Y121)</f>
        <v/>
      </c>
    </row>
    <row r="122">
      <c r="A122" s="17" t="inlineStr">
        <is>
          <t xml:space="preserve">  Contingency Buffer (10%)</t>
        </is>
      </c>
      <c r="B122" s="18">
        <f>ROUND(B121*Assumptions!B93,0)</f>
        <v/>
      </c>
      <c r="C122" s="18">
        <f>ROUND(C121*Assumptions!B93,0)</f>
        <v/>
      </c>
      <c r="D122" s="18">
        <f>ROUND(D121*Assumptions!B93,0)</f>
        <v/>
      </c>
      <c r="E122" s="18">
        <f>ROUND(E121*Assumptions!B93,0)</f>
        <v/>
      </c>
      <c r="F122" s="18">
        <f>ROUND(F121*Assumptions!B93,0)</f>
        <v/>
      </c>
      <c r="G122" s="18">
        <f>ROUND(G121*Assumptions!B93,0)</f>
        <v/>
      </c>
      <c r="H122" s="18">
        <f>ROUND(H121*Assumptions!B93,0)</f>
        <v/>
      </c>
      <c r="I122" s="18">
        <f>ROUND(I121*Assumptions!B93,0)</f>
        <v/>
      </c>
      <c r="J122" s="18">
        <f>ROUND(J121*Assumptions!B93,0)</f>
        <v/>
      </c>
      <c r="K122" s="18">
        <f>ROUND(K121*Assumptions!B93,0)</f>
        <v/>
      </c>
      <c r="L122" s="18">
        <f>ROUND(L121*Assumptions!B93,0)</f>
        <v/>
      </c>
      <c r="M122" s="18">
        <f>ROUND(M121*Assumptions!B93,0)</f>
        <v/>
      </c>
      <c r="N122" s="18">
        <f>ROUND(N121*Assumptions!B93,0)</f>
        <v/>
      </c>
      <c r="O122" s="18">
        <f>ROUND(O121*Assumptions!B93,0)</f>
        <v/>
      </c>
      <c r="P122" s="18">
        <f>ROUND(P121*Assumptions!B93,0)</f>
        <v/>
      </c>
      <c r="Q122" s="18">
        <f>ROUND(Q121*Assumptions!B93,0)</f>
        <v/>
      </c>
      <c r="R122" s="18">
        <f>ROUND(R121*Assumptions!B93,0)</f>
        <v/>
      </c>
      <c r="S122" s="18">
        <f>ROUND(S121*Assumptions!B93,0)</f>
        <v/>
      </c>
      <c r="T122" s="18">
        <f>ROUND(T121*Assumptions!B93,0)</f>
        <v/>
      </c>
      <c r="U122" s="18">
        <f>ROUND(U121*Assumptions!B93,0)</f>
        <v/>
      </c>
      <c r="V122" s="18">
        <f>ROUND(V121*Assumptions!B93,0)</f>
        <v/>
      </c>
      <c r="W122" s="18">
        <f>ROUND(W121*Assumptions!B93,0)</f>
        <v/>
      </c>
      <c r="X122" s="18">
        <f>ROUND(X121*Assumptions!B93,0)</f>
        <v/>
      </c>
      <c r="Y122" s="18">
        <f>ROUND(Y121*Assumptions!B93,0)</f>
        <v/>
      </c>
      <c r="Z122" s="18">
        <f>SUM(B122:Y122)</f>
        <v/>
      </c>
    </row>
    <row r="124">
      <c r="A124" s="19" t="inlineStr">
        <is>
          <t>TOTAL OPEX</t>
        </is>
      </c>
      <c r="B124" s="20">
        <f>B121+B122</f>
        <v/>
      </c>
      <c r="C124" s="20">
        <f>C121+C122</f>
        <v/>
      </c>
      <c r="D124" s="20">
        <f>D121+D122</f>
        <v/>
      </c>
      <c r="E124" s="20">
        <f>E121+E122</f>
        <v/>
      </c>
      <c r="F124" s="20">
        <f>F121+F122</f>
        <v/>
      </c>
      <c r="G124" s="20">
        <f>G121+G122</f>
        <v/>
      </c>
      <c r="H124" s="20">
        <f>H121+H122</f>
        <v/>
      </c>
      <c r="I124" s="20">
        <f>I121+I122</f>
        <v/>
      </c>
      <c r="J124" s="20">
        <f>J121+J122</f>
        <v/>
      </c>
      <c r="K124" s="20">
        <f>K121+K122</f>
        <v/>
      </c>
      <c r="L124" s="20">
        <f>L121+L122</f>
        <v/>
      </c>
      <c r="M124" s="20">
        <f>M121+M122</f>
        <v/>
      </c>
      <c r="N124" s="20">
        <f>N121+N122</f>
        <v/>
      </c>
      <c r="O124" s="20">
        <f>O121+O122</f>
        <v/>
      </c>
      <c r="P124" s="20">
        <f>P121+P122</f>
        <v/>
      </c>
      <c r="Q124" s="20">
        <f>Q121+Q122</f>
        <v/>
      </c>
      <c r="R124" s="20">
        <f>R121+R122</f>
        <v/>
      </c>
      <c r="S124" s="20">
        <f>S121+S122</f>
        <v/>
      </c>
      <c r="T124" s="20">
        <f>T121+T122</f>
        <v/>
      </c>
      <c r="U124" s="20">
        <f>U121+U122</f>
        <v/>
      </c>
      <c r="V124" s="20">
        <f>V121+V122</f>
        <v/>
      </c>
      <c r="W124" s="20">
        <f>W121+W122</f>
        <v/>
      </c>
      <c r="X124" s="20">
        <f>X121+X122</f>
        <v/>
      </c>
      <c r="Y124" s="20">
        <f>Y121+Y122</f>
        <v/>
      </c>
      <c r="Z124" s="20">
        <f>SUM(B124:Y124)</f>
        <v/>
      </c>
    </row>
    <row r="126">
      <c r="A126" s="4" t="inlineStr">
        <is>
          <t>PROFITABILITY BRIDGE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2" t="inlineStr">
        <is>
          <t>EBITDA = Earnings Before Interest, Tax, Depreciation &amp; Amortization</t>
        </is>
      </c>
    </row>
    <row r="128">
      <c r="A128" s="17" t="inlineStr">
        <is>
          <t xml:space="preserve">  Total Income</t>
        </is>
      </c>
      <c r="B128" s="18">
        <f>B47</f>
        <v/>
      </c>
      <c r="C128" s="18">
        <f>C47</f>
        <v/>
      </c>
      <c r="D128" s="18">
        <f>D47</f>
        <v/>
      </c>
      <c r="E128" s="18">
        <f>E47</f>
        <v/>
      </c>
      <c r="F128" s="18">
        <f>F47</f>
        <v/>
      </c>
      <c r="G128" s="18">
        <f>G47</f>
        <v/>
      </c>
      <c r="H128" s="18">
        <f>H47</f>
        <v/>
      </c>
      <c r="I128" s="18">
        <f>I47</f>
        <v/>
      </c>
      <c r="J128" s="18">
        <f>J47</f>
        <v/>
      </c>
      <c r="K128" s="18">
        <f>K47</f>
        <v/>
      </c>
      <c r="L128" s="18">
        <f>L47</f>
        <v/>
      </c>
      <c r="M128" s="18">
        <f>M47</f>
        <v/>
      </c>
      <c r="N128" s="18">
        <f>N47</f>
        <v/>
      </c>
      <c r="O128" s="18">
        <f>O47</f>
        <v/>
      </c>
      <c r="P128" s="18">
        <f>P47</f>
        <v/>
      </c>
      <c r="Q128" s="18">
        <f>Q47</f>
        <v/>
      </c>
      <c r="R128" s="18">
        <f>R47</f>
        <v/>
      </c>
      <c r="S128" s="18">
        <f>S47</f>
        <v/>
      </c>
      <c r="T128" s="18">
        <f>T47</f>
        <v/>
      </c>
      <c r="U128" s="18">
        <f>U47</f>
        <v/>
      </c>
      <c r="V128" s="18">
        <f>V47</f>
        <v/>
      </c>
      <c r="W128" s="18">
        <f>W47</f>
        <v/>
      </c>
      <c r="X128" s="18">
        <f>X47</f>
        <v/>
      </c>
      <c r="Y128" s="18">
        <f>Y47</f>
        <v/>
      </c>
      <c r="Z128" s="18">
        <f>SUM(B128:Y128)</f>
        <v/>
      </c>
    </row>
    <row r="129">
      <c r="A129" s="17" t="inlineStr">
        <is>
          <t xml:space="preserve">  − Total COGS</t>
        </is>
      </c>
      <c r="B129" s="18">
        <f>-B64</f>
        <v/>
      </c>
      <c r="C129" s="18">
        <f>-C64</f>
        <v/>
      </c>
      <c r="D129" s="18">
        <f>-D64</f>
        <v/>
      </c>
      <c r="E129" s="18">
        <f>-E64</f>
        <v/>
      </c>
      <c r="F129" s="18">
        <f>-F64</f>
        <v/>
      </c>
      <c r="G129" s="18">
        <f>-G64</f>
        <v/>
      </c>
      <c r="H129" s="18">
        <f>-H64</f>
        <v/>
      </c>
      <c r="I129" s="18">
        <f>-I64</f>
        <v/>
      </c>
      <c r="J129" s="18">
        <f>-J64</f>
        <v/>
      </c>
      <c r="K129" s="18">
        <f>-K64</f>
        <v/>
      </c>
      <c r="L129" s="18">
        <f>-L64</f>
        <v/>
      </c>
      <c r="M129" s="18">
        <f>-M64</f>
        <v/>
      </c>
      <c r="N129" s="18">
        <f>-N64</f>
        <v/>
      </c>
      <c r="O129" s="18">
        <f>-O64</f>
        <v/>
      </c>
      <c r="P129" s="18">
        <f>-P64</f>
        <v/>
      </c>
      <c r="Q129" s="18">
        <f>-Q64</f>
        <v/>
      </c>
      <c r="R129" s="18">
        <f>-R64</f>
        <v/>
      </c>
      <c r="S129" s="18">
        <f>-S64</f>
        <v/>
      </c>
      <c r="T129" s="18">
        <f>-T64</f>
        <v/>
      </c>
      <c r="U129" s="18">
        <f>-U64</f>
        <v/>
      </c>
      <c r="V129" s="18">
        <f>-V64</f>
        <v/>
      </c>
      <c r="W129" s="18">
        <f>-W64</f>
        <v/>
      </c>
      <c r="X129" s="18">
        <f>-X64</f>
        <v/>
      </c>
      <c r="Y129" s="18">
        <f>-Y64</f>
        <v/>
      </c>
      <c r="Z129" s="18">
        <f>SUM(B129:Y129)</f>
        <v/>
      </c>
    </row>
    <row r="130">
      <c r="A130" s="7" t="inlineStr">
        <is>
          <t xml:space="preserve">  = Gross Profit</t>
        </is>
      </c>
      <c r="B130" s="8">
        <f>B66</f>
        <v/>
      </c>
      <c r="C130" s="8">
        <f>C66</f>
        <v/>
      </c>
      <c r="D130" s="8">
        <f>D66</f>
        <v/>
      </c>
      <c r="E130" s="8">
        <f>E66</f>
        <v/>
      </c>
      <c r="F130" s="8">
        <f>F66</f>
        <v/>
      </c>
      <c r="G130" s="8">
        <f>G66</f>
        <v/>
      </c>
      <c r="H130" s="8">
        <f>H66</f>
        <v/>
      </c>
      <c r="I130" s="8">
        <f>I66</f>
        <v/>
      </c>
      <c r="J130" s="8">
        <f>J66</f>
        <v/>
      </c>
      <c r="K130" s="8">
        <f>K66</f>
        <v/>
      </c>
      <c r="L130" s="8">
        <f>L66</f>
        <v/>
      </c>
      <c r="M130" s="8">
        <f>M66</f>
        <v/>
      </c>
      <c r="N130" s="8">
        <f>N66</f>
        <v/>
      </c>
      <c r="O130" s="8">
        <f>O66</f>
        <v/>
      </c>
      <c r="P130" s="8">
        <f>P66</f>
        <v/>
      </c>
      <c r="Q130" s="8">
        <f>Q66</f>
        <v/>
      </c>
      <c r="R130" s="8">
        <f>R66</f>
        <v/>
      </c>
      <c r="S130" s="8">
        <f>S66</f>
        <v/>
      </c>
      <c r="T130" s="8">
        <f>T66</f>
        <v/>
      </c>
      <c r="U130" s="8">
        <f>U66</f>
        <v/>
      </c>
      <c r="V130" s="8">
        <f>V66</f>
        <v/>
      </c>
      <c r="W130" s="8">
        <f>W66</f>
        <v/>
      </c>
      <c r="X130" s="8">
        <f>X66</f>
        <v/>
      </c>
      <c r="Y130" s="8">
        <f>Y66</f>
        <v/>
      </c>
      <c r="Z130" s="8">
        <f>SUM(B130:Y130)</f>
        <v/>
      </c>
    </row>
    <row r="131">
      <c r="A131" s="5" t="inlineStr">
        <is>
          <t xml:space="preserve">    Gross Margin %</t>
        </is>
      </c>
      <c r="B131" s="21">
        <f>IF(B47&gt;0,B66/B47,0)</f>
        <v/>
      </c>
      <c r="C131" s="21">
        <f>IF(C47&gt;0,C66/C47,0)</f>
        <v/>
      </c>
      <c r="D131" s="21">
        <f>IF(D47&gt;0,D66/D47,0)</f>
        <v/>
      </c>
      <c r="E131" s="21">
        <f>IF(E47&gt;0,E66/E47,0)</f>
        <v/>
      </c>
      <c r="F131" s="21">
        <f>IF(F47&gt;0,F66/F47,0)</f>
        <v/>
      </c>
      <c r="G131" s="21">
        <f>IF(G47&gt;0,G66/G47,0)</f>
        <v/>
      </c>
      <c r="H131" s="21">
        <f>IF(H47&gt;0,H66/H47,0)</f>
        <v/>
      </c>
      <c r="I131" s="21">
        <f>IF(I47&gt;0,I66/I47,0)</f>
        <v/>
      </c>
      <c r="J131" s="21">
        <f>IF(J47&gt;0,J66/J47,0)</f>
        <v/>
      </c>
      <c r="K131" s="21">
        <f>IF(K47&gt;0,K66/K47,0)</f>
        <v/>
      </c>
      <c r="L131" s="21">
        <f>IF(L47&gt;0,L66/L47,0)</f>
        <v/>
      </c>
      <c r="M131" s="21">
        <f>IF(M47&gt;0,M66/M47,0)</f>
        <v/>
      </c>
      <c r="N131" s="21">
        <f>IF(N47&gt;0,N66/N47,0)</f>
        <v/>
      </c>
      <c r="O131" s="21">
        <f>IF(O47&gt;0,O66/O47,0)</f>
        <v/>
      </c>
      <c r="P131" s="21">
        <f>IF(P47&gt;0,P66/P47,0)</f>
        <v/>
      </c>
      <c r="Q131" s="21">
        <f>IF(Q47&gt;0,Q66/Q47,0)</f>
        <v/>
      </c>
      <c r="R131" s="21">
        <f>IF(R47&gt;0,R66/R47,0)</f>
        <v/>
      </c>
      <c r="S131" s="21">
        <f>IF(S47&gt;0,S66/S47,0)</f>
        <v/>
      </c>
      <c r="T131" s="21">
        <f>IF(T47&gt;0,T66/T47,0)</f>
        <v/>
      </c>
      <c r="U131" s="21">
        <f>IF(U47&gt;0,U66/U47,0)</f>
        <v/>
      </c>
      <c r="V131" s="21">
        <f>IF(V47&gt;0,V66/V47,0)</f>
        <v/>
      </c>
      <c r="W131" s="21">
        <f>IF(W47&gt;0,W66/W47,0)</f>
        <v/>
      </c>
      <c r="X131" s="21">
        <f>IF(X47&gt;0,X66/X47,0)</f>
        <v/>
      </c>
      <c r="Y131" s="21">
        <f>IF(Y47&gt;0,Y66/Y47,0)</f>
        <v/>
      </c>
      <c r="Z131" s="21">
        <f>IF(Z47&gt;0,Z66/Z47,0)</f>
        <v/>
      </c>
    </row>
    <row r="132">
      <c r="A132" s="13" t="inlineStr">
        <is>
          <t xml:space="preserve">  − Total OpEx</t>
        </is>
      </c>
      <c r="B132" s="14">
        <f>-B124</f>
        <v/>
      </c>
      <c r="C132" s="14">
        <f>-C124</f>
        <v/>
      </c>
      <c r="D132" s="14">
        <f>-D124</f>
        <v/>
      </c>
      <c r="E132" s="14">
        <f>-E124</f>
        <v/>
      </c>
      <c r="F132" s="14">
        <f>-F124</f>
        <v/>
      </c>
      <c r="G132" s="14">
        <f>-G124</f>
        <v/>
      </c>
      <c r="H132" s="14">
        <f>-H124</f>
        <v/>
      </c>
      <c r="I132" s="14">
        <f>-I124</f>
        <v/>
      </c>
      <c r="J132" s="14">
        <f>-J124</f>
        <v/>
      </c>
      <c r="K132" s="14">
        <f>-K124</f>
        <v/>
      </c>
      <c r="L132" s="14">
        <f>-L124</f>
        <v/>
      </c>
      <c r="M132" s="14">
        <f>-M124</f>
        <v/>
      </c>
      <c r="N132" s="14">
        <f>-N124</f>
        <v/>
      </c>
      <c r="O132" s="14">
        <f>-O124</f>
        <v/>
      </c>
      <c r="P132" s="14">
        <f>-P124</f>
        <v/>
      </c>
      <c r="Q132" s="14">
        <f>-Q124</f>
        <v/>
      </c>
      <c r="R132" s="14">
        <f>-R124</f>
        <v/>
      </c>
      <c r="S132" s="14">
        <f>-S124</f>
        <v/>
      </c>
      <c r="T132" s="14">
        <f>-T124</f>
        <v/>
      </c>
      <c r="U132" s="14">
        <f>-U124</f>
        <v/>
      </c>
      <c r="V132" s="14">
        <f>-V124</f>
        <v/>
      </c>
      <c r="W132" s="14">
        <f>-W124</f>
        <v/>
      </c>
      <c r="X132" s="14">
        <f>-X124</f>
        <v/>
      </c>
      <c r="Y132" s="14">
        <f>-Y124</f>
        <v/>
      </c>
      <c r="Z132" s="14">
        <f>SUM(B132:Y132)</f>
        <v/>
      </c>
    </row>
    <row r="133">
      <c r="A133" s="19" t="inlineStr">
        <is>
          <t xml:space="preserve">  = EBITDA</t>
        </is>
      </c>
      <c r="B133" s="20">
        <f>B66-B124</f>
        <v/>
      </c>
      <c r="C133" s="20">
        <f>C66-C124</f>
        <v/>
      </c>
      <c r="D133" s="20">
        <f>D66-D124</f>
        <v/>
      </c>
      <c r="E133" s="20">
        <f>E66-E124</f>
        <v/>
      </c>
      <c r="F133" s="20">
        <f>F66-F124</f>
        <v/>
      </c>
      <c r="G133" s="20">
        <f>G66-G124</f>
        <v/>
      </c>
      <c r="H133" s="20">
        <f>H66-H124</f>
        <v/>
      </c>
      <c r="I133" s="20">
        <f>I66-I124</f>
        <v/>
      </c>
      <c r="J133" s="20">
        <f>J66-J124</f>
        <v/>
      </c>
      <c r="K133" s="20">
        <f>K66-K124</f>
        <v/>
      </c>
      <c r="L133" s="20">
        <f>L66-L124</f>
        <v/>
      </c>
      <c r="M133" s="20">
        <f>M66-M124</f>
        <v/>
      </c>
      <c r="N133" s="20">
        <f>N66-N124</f>
        <v/>
      </c>
      <c r="O133" s="20">
        <f>O66-O124</f>
        <v/>
      </c>
      <c r="P133" s="20">
        <f>P66-P124</f>
        <v/>
      </c>
      <c r="Q133" s="20">
        <f>Q66-Q124</f>
        <v/>
      </c>
      <c r="R133" s="20">
        <f>R66-R124</f>
        <v/>
      </c>
      <c r="S133" s="20">
        <f>S66-S124</f>
        <v/>
      </c>
      <c r="T133" s="20">
        <f>T66-T124</f>
        <v/>
      </c>
      <c r="U133" s="20">
        <f>U66-U124</f>
        <v/>
      </c>
      <c r="V133" s="20">
        <f>V66-V124</f>
        <v/>
      </c>
      <c r="W133" s="20">
        <f>W66-W124</f>
        <v/>
      </c>
      <c r="X133" s="20">
        <f>X66-X124</f>
        <v/>
      </c>
      <c r="Y133" s="20">
        <f>Y66-Y124</f>
        <v/>
      </c>
      <c r="Z133" s="20">
        <f>SUM(B133:Y133)</f>
        <v/>
      </c>
    </row>
    <row r="134">
      <c r="A134" s="5" t="inlineStr">
        <is>
          <t xml:space="preserve">    EBITDA Margin %</t>
        </is>
      </c>
      <c r="B134" s="21">
        <f>IF(B47&gt;0,B133/B47,0)</f>
        <v/>
      </c>
      <c r="C134" s="21">
        <f>IF(C47&gt;0,C133/C47,0)</f>
        <v/>
      </c>
      <c r="D134" s="21">
        <f>IF(D47&gt;0,D133/D47,0)</f>
        <v/>
      </c>
      <c r="E134" s="21">
        <f>IF(E47&gt;0,E133/E47,0)</f>
        <v/>
      </c>
      <c r="F134" s="21">
        <f>IF(F47&gt;0,F133/F47,0)</f>
        <v/>
      </c>
      <c r="G134" s="21">
        <f>IF(G47&gt;0,G133/G47,0)</f>
        <v/>
      </c>
      <c r="H134" s="21">
        <f>IF(H47&gt;0,H133/H47,0)</f>
        <v/>
      </c>
      <c r="I134" s="21">
        <f>IF(I47&gt;0,I133/I47,0)</f>
        <v/>
      </c>
      <c r="J134" s="21">
        <f>IF(J47&gt;0,J133/J47,0)</f>
        <v/>
      </c>
      <c r="K134" s="21">
        <f>IF(K47&gt;0,K133/K47,0)</f>
        <v/>
      </c>
      <c r="L134" s="21">
        <f>IF(L47&gt;0,L133/L47,0)</f>
        <v/>
      </c>
      <c r="M134" s="21">
        <f>IF(M47&gt;0,M133/M47,0)</f>
        <v/>
      </c>
      <c r="N134" s="21">
        <f>IF(N47&gt;0,N133/N47,0)</f>
        <v/>
      </c>
      <c r="O134" s="21">
        <f>IF(O47&gt;0,O133/O47,0)</f>
        <v/>
      </c>
      <c r="P134" s="21">
        <f>IF(P47&gt;0,P133/P47,0)</f>
        <v/>
      </c>
      <c r="Q134" s="21">
        <f>IF(Q47&gt;0,Q133/Q47,0)</f>
        <v/>
      </c>
      <c r="R134" s="21">
        <f>IF(R47&gt;0,R133/R47,0)</f>
        <v/>
      </c>
      <c r="S134" s="21">
        <f>IF(S47&gt;0,S133/S47,0)</f>
        <v/>
      </c>
      <c r="T134" s="21">
        <f>IF(T47&gt;0,T133/T47,0)</f>
        <v/>
      </c>
      <c r="U134" s="21">
        <f>IF(U47&gt;0,U133/U47,0)</f>
        <v/>
      </c>
      <c r="V134" s="21">
        <f>IF(V47&gt;0,V133/V47,0)</f>
        <v/>
      </c>
      <c r="W134" s="21">
        <f>IF(W47&gt;0,W133/W47,0)</f>
        <v/>
      </c>
      <c r="X134" s="21">
        <f>IF(X47&gt;0,X133/X47,0)</f>
        <v/>
      </c>
      <c r="Y134" s="21">
        <f>IF(Y47&gt;0,Y133/Y47,0)</f>
        <v/>
      </c>
      <c r="Z134" s="21">
        <f>IF(Z47&gt;0,Z133/Z47,0)</f>
        <v/>
      </c>
    </row>
    <row r="136">
      <c r="A136" s="4" t="inlineStr">
        <is>
          <t>CAPITAL EXPENDITURES (CapEx)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17" t="inlineStr">
        <is>
          <t xml:space="preserve">  GmbH Formation (M1)</t>
        </is>
      </c>
      <c r="B137" s="18">
        <f>IF(1=1,Assumptions!B102,0)</f>
        <v/>
      </c>
      <c r="C137" s="18">
        <f>IF(2=1,Assumptions!B102,0)</f>
        <v/>
      </c>
      <c r="D137" s="18">
        <f>IF(3=1,Assumptions!B102,0)</f>
        <v/>
      </c>
      <c r="E137" s="18">
        <f>IF(4=1,Assumptions!B102,0)</f>
        <v/>
      </c>
      <c r="F137" s="18">
        <f>IF(5=1,Assumptions!B102,0)</f>
        <v/>
      </c>
      <c r="G137" s="18">
        <f>IF(6=1,Assumptions!B102,0)</f>
        <v/>
      </c>
      <c r="H137" s="18">
        <f>IF(7=1,Assumptions!B102,0)</f>
        <v/>
      </c>
      <c r="I137" s="18">
        <f>IF(8=1,Assumptions!B102,0)</f>
        <v/>
      </c>
      <c r="J137" s="18">
        <f>IF(9=1,Assumptions!B102,0)</f>
        <v/>
      </c>
      <c r="K137" s="18">
        <f>IF(10=1,Assumptions!B102,0)</f>
        <v/>
      </c>
      <c r="L137" s="18">
        <f>IF(11=1,Assumptions!B102,0)</f>
        <v/>
      </c>
      <c r="M137" s="18">
        <f>IF(12=1,Assumptions!B102,0)</f>
        <v/>
      </c>
      <c r="N137" s="18">
        <f>IF(13=1,Assumptions!B102,0)</f>
        <v/>
      </c>
      <c r="O137" s="18">
        <f>IF(14=1,Assumptions!B102,0)</f>
        <v/>
      </c>
      <c r="P137" s="18">
        <f>IF(15=1,Assumptions!B102,0)</f>
        <v/>
      </c>
      <c r="Q137" s="18">
        <f>IF(16=1,Assumptions!B102,0)</f>
        <v/>
      </c>
      <c r="R137" s="18">
        <f>IF(17=1,Assumptions!B102,0)</f>
        <v/>
      </c>
      <c r="S137" s="18">
        <f>IF(18=1,Assumptions!B102,0)</f>
        <v/>
      </c>
      <c r="T137" s="18">
        <f>IF(19=1,Assumptions!B102,0)</f>
        <v/>
      </c>
      <c r="U137" s="18">
        <f>IF(20=1,Assumptions!B102,0)</f>
        <v/>
      </c>
      <c r="V137" s="18">
        <f>IF(21=1,Assumptions!B102,0)</f>
        <v/>
      </c>
      <c r="W137" s="18">
        <f>IF(22=1,Assumptions!B102,0)</f>
        <v/>
      </c>
      <c r="X137" s="18">
        <f>IF(23=1,Assumptions!B102,0)</f>
        <v/>
      </c>
      <c r="Y137" s="18">
        <f>IF(24=1,Assumptions!B102,0)</f>
        <v/>
      </c>
      <c r="Z137" s="18">
        <f>SUM(B137:Y137)</f>
        <v/>
      </c>
    </row>
    <row r="138">
      <c r="A138" s="17" t="inlineStr">
        <is>
          <t xml:space="preserve">  Legal Opinion HWG (M1)</t>
        </is>
      </c>
      <c r="B138" s="18">
        <f>IF(1=1,Assumptions!B103,0)</f>
        <v/>
      </c>
      <c r="C138" s="18">
        <f>IF(2=1,Assumptions!B103,0)</f>
        <v/>
      </c>
      <c r="D138" s="18">
        <f>IF(3=1,Assumptions!B103,0)</f>
        <v/>
      </c>
      <c r="E138" s="18">
        <f>IF(4=1,Assumptions!B103,0)</f>
        <v/>
      </c>
      <c r="F138" s="18">
        <f>IF(5=1,Assumptions!B103,0)</f>
        <v/>
      </c>
      <c r="G138" s="18">
        <f>IF(6=1,Assumptions!B103,0)</f>
        <v/>
      </c>
      <c r="H138" s="18">
        <f>IF(7=1,Assumptions!B103,0)</f>
        <v/>
      </c>
      <c r="I138" s="18">
        <f>IF(8=1,Assumptions!B103,0)</f>
        <v/>
      </c>
      <c r="J138" s="18">
        <f>IF(9=1,Assumptions!B103,0)</f>
        <v/>
      </c>
      <c r="K138" s="18">
        <f>IF(10=1,Assumptions!B103,0)</f>
        <v/>
      </c>
      <c r="L138" s="18">
        <f>IF(11=1,Assumptions!B103,0)</f>
        <v/>
      </c>
      <c r="M138" s="18">
        <f>IF(12=1,Assumptions!B103,0)</f>
        <v/>
      </c>
      <c r="N138" s="18">
        <f>IF(13=1,Assumptions!B103,0)</f>
        <v/>
      </c>
      <c r="O138" s="18">
        <f>IF(14=1,Assumptions!B103,0)</f>
        <v/>
      </c>
      <c r="P138" s="18">
        <f>IF(15=1,Assumptions!B103,0)</f>
        <v/>
      </c>
      <c r="Q138" s="18">
        <f>IF(16=1,Assumptions!B103,0)</f>
        <v/>
      </c>
      <c r="R138" s="18">
        <f>IF(17=1,Assumptions!B103,0)</f>
        <v/>
      </c>
      <c r="S138" s="18">
        <f>IF(18=1,Assumptions!B103,0)</f>
        <v/>
      </c>
      <c r="T138" s="18">
        <f>IF(19=1,Assumptions!B103,0)</f>
        <v/>
      </c>
      <c r="U138" s="18">
        <f>IF(20=1,Assumptions!B103,0)</f>
        <v/>
      </c>
      <c r="V138" s="18">
        <f>IF(21=1,Assumptions!B103,0)</f>
        <v/>
      </c>
      <c r="W138" s="18">
        <f>IF(22=1,Assumptions!B103,0)</f>
        <v/>
      </c>
      <c r="X138" s="18">
        <f>IF(23=1,Assumptions!B103,0)</f>
        <v/>
      </c>
      <c r="Y138" s="18">
        <f>IF(24=1,Assumptions!B103,0)</f>
        <v/>
      </c>
      <c r="Z138" s="18">
        <f>SUM(B138:Y138)</f>
        <v/>
      </c>
    </row>
    <row r="139">
      <c r="A139" s="17" t="inlineStr">
        <is>
          <t xml:space="preserve">  R&amp;D Stability Testing (M1)</t>
        </is>
      </c>
      <c r="B139" s="18">
        <f>IF(1=1,Assumptions!B104,0)</f>
        <v/>
      </c>
      <c r="C139" s="18">
        <f>IF(2=1,Assumptions!B104,0)</f>
        <v/>
      </c>
      <c r="D139" s="18">
        <f>IF(3=1,Assumptions!B104,0)</f>
        <v/>
      </c>
      <c r="E139" s="18">
        <f>IF(4=1,Assumptions!B104,0)</f>
        <v/>
      </c>
      <c r="F139" s="18">
        <f>IF(5=1,Assumptions!B104,0)</f>
        <v/>
      </c>
      <c r="G139" s="18">
        <f>IF(6=1,Assumptions!B104,0)</f>
        <v/>
      </c>
      <c r="H139" s="18">
        <f>IF(7=1,Assumptions!B104,0)</f>
        <v/>
      </c>
      <c r="I139" s="18">
        <f>IF(8=1,Assumptions!B104,0)</f>
        <v/>
      </c>
      <c r="J139" s="18">
        <f>IF(9=1,Assumptions!B104,0)</f>
        <v/>
      </c>
      <c r="K139" s="18">
        <f>IF(10=1,Assumptions!B104,0)</f>
        <v/>
      </c>
      <c r="L139" s="18">
        <f>IF(11=1,Assumptions!B104,0)</f>
        <v/>
      </c>
      <c r="M139" s="18">
        <f>IF(12=1,Assumptions!B104,0)</f>
        <v/>
      </c>
      <c r="N139" s="18">
        <f>IF(13=1,Assumptions!B104,0)</f>
        <v/>
      </c>
      <c r="O139" s="18">
        <f>IF(14=1,Assumptions!B104,0)</f>
        <v/>
      </c>
      <c r="P139" s="18">
        <f>IF(15=1,Assumptions!B104,0)</f>
        <v/>
      </c>
      <c r="Q139" s="18">
        <f>IF(16=1,Assumptions!B104,0)</f>
        <v/>
      </c>
      <c r="R139" s="18">
        <f>IF(17=1,Assumptions!B104,0)</f>
        <v/>
      </c>
      <c r="S139" s="18">
        <f>IF(18=1,Assumptions!B104,0)</f>
        <v/>
      </c>
      <c r="T139" s="18">
        <f>IF(19=1,Assumptions!B104,0)</f>
        <v/>
      </c>
      <c r="U139" s="18">
        <f>IF(20=1,Assumptions!B104,0)</f>
        <v/>
      </c>
      <c r="V139" s="18">
        <f>IF(21=1,Assumptions!B104,0)</f>
        <v/>
      </c>
      <c r="W139" s="18">
        <f>IF(22=1,Assumptions!B104,0)</f>
        <v/>
      </c>
      <c r="X139" s="18">
        <f>IF(23=1,Assumptions!B104,0)</f>
        <v/>
      </c>
      <c r="Y139" s="18">
        <f>IF(24=1,Assumptions!B104,0)</f>
        <v/>
      </c>
      <c r="Z139" s="18">
        <f>SUM(B139:Y139)</f>
        <v/>
      </c>
    </row>
    <row r="140">
      <c r="A140" s="17" t="inlineStr">
        <is>
          <t xml:space="preserve">  DPIA (M1) (P6: mandatory)</t>
        </is>
      </c>
      <c r="B140" s="18">
        <f>IF(1=1,Assumptions!B105,0)</f>
        <v/>
      </c>
      <c r="C140" s="18">
        <f>IF(2=1,Assumptions!B105,0)</f>
        <v/>
      </c>
      <c r="D140" s="18">
        <f>IF(3=1,Assumptions!B105,0)</f>
        <v/>
      </c>
      <c r="E140" s="18">
        <f>IF(4=1,Assumptions!B105,0)</f>
        <v/>
      </c>
      <c r="F140" s="18">
        <f>IF(5=1,Assumptions!B105,0)</f>
        <v/>
      </c>
      <c r="G140" s="18">
        <f>IF(6=1,Assumptions!B105,0)</f>
        <v/>
      </c>
      <c r="H140" s="18">
        <f>IF(7=1,Assumptions!B105,0)</f>
        <v/>
      </c>
      <c r="I140" s="18">
        <f>IF(8=1,Assumptions!B105,0)</f>
        <v/>
      </c>
      <c r="J140" s="18">
        <f>IF(9=1,Assumptions!B105,0)</f>
        <v/>
      </c>
      <c r="K140" s="18">
        <f>IF(10=1,Assumptions!B105,0)</f>
        <v/>
      </c>
      <c r="L140" s="18">
        <f>IF(11=1,Assumptions!B105,0)</f>
        <v/>
      </c>
      <c r="M140" s="18">
        <f>IF(12=1,Assumptions!B105,0)</f>
        <v/>
      </c>
      <c r="N140" s="18">
        <f>IF(13=1,Assumptions!B105,0)</f>
        <v/>
      </c>
      <c r="O140" s="18">
        <f>IF(14=1,Assumptions!B105,0)</f>
        <v/>
      </c>
      <c r="P140" s="18">
        <f>IF(15=1,Assumptions!B105,0)</f>
        <v/>
      </c>
      <c r="Q140" s="18">
        <f>IF(16=1,Assumptions!B105,0)</f>
        <v/>
      </c>
      <c r="R140" s="18">
        <f>IF(17=1,Assumptions!B105,0)</f>
        <v/>
      </c>
      <c r="S140" s="18">
        <f>IF(18=1,Assumptions!B105,0)</f>
        <v/>
      </c>
      <c r="T140" s="18">
        <f>IF(19=1,Assumptions!B105,0)</f>
        <v/>
      </c>
      <c r="U140" s="18">
        <f>IF(20=1,Assumptions!B105,0)</f>
        <v/>
      </c>
      <c r="V140" s="18">
        <f>IF(21=1,Assumptions!B105,0)</f>
        <v/>
      </c>
      <c r="W140" s="18">
        <f>IF(22=1,Assumptions!B105,0)</f>
        <v/>
      </c>
      <c r="X140" s="18">
        <f>IF(23=1,Assumptions!B105,0)</f>
        <v/>
      </c>
      <c r="Y140" s="18">
        <f>IF(24=1,Assumptions!B105,0)</f>
        <v/>
      </c>
      <c r="Z140" s="18">
        <f>SUM(B140:Y140)</f>
        <v/>
      </c>
    </row>
    <row r="141">
      <c r="A141" s="17" t="inlineStr">
        <is>
          <t xml:space="preserve">  MDR Classification Opinion (M1) (P6)</t>
        </is>
      </c>
      <c r="B141" s="18">
        <f>IF(1=1,Assumptions!B106,0)</f>
        <v/>
      </c>
      <c r="C141" s="18">
        <f>IF(2=1,Assumptions!B106,0)</f>
        <v/>
      </c>
      <c r="D141" s="18">
        <f>IF(3=1,Assumptions!B106,0)</f>
        <v/>
      </c>
      <c r="E141" s="18">
        <f>IF(4=1,Assumptions!B106,0)</f>
        <v/>
      </c>
      <c r="F141" s="18">
        <f>IF(5=1,Assumptions!B106,0)</f>
        <v/>
      </c>
      <c r="G141" s="18">
        <f>IF(6=1,Assumptions!B106,0)</f>
        <v/>
      </c>
      <c r="H141" s="18">
        <f>IF(7=1,Assumptions!B106,0)</f>
        <v/>
      </c>
      <c r="I141" s="18">
        <f>IF(8=1,Assumptions!B106,0)</f>
        <v/>
      </c>
      <c r="J141" s="18">
        <f>IF(9=1,Assumptions!B106,0)</f>
        <v/>
      </c>
      <c r="K141" s="18">
        <f>IF(10=1,Assumptions!B106,0)</f>
        <v/>
      </c>
      <c r="L141" s="18">
        <f>IF(11=1,Assumptions!B106,0)</f>
        <v/>
      </c>
      <c r="M141" s="18">
        <f>IF(12=1,Assumptions!B106,0)</f>
        <v/>
      </c>
      <c r="N141" s="18">
        <f>IF(13=1,Assumptions!B106,0)</f>
        <v/>
      </c>
      <c r="O141" s="18">
        <f>IF(14=1,Assumptions!B106,0)</f>
        <v/>
      </c>
      <c r="P141" s="18">
        <f>IF(15=1,Assumptions!B106,0)</f>
        <v/>
      </c>
      <c r="Q141" s="18">
        <f>IF(16=1,Assumptions!B106,0)</f>
        <v/>
      </c>
      <c r="R141" s="18">
        <f>IF(17=1,Assumptions!B106,0)</f>
        <v/>
      </c>
      <c r="S141" s="18">
        <f>IF(18=1,Assumptions!B106,0)</f>
        <v/>
      </c>
      <c r="T141" s="18">
        <f>IF(19=1,Assumptions!B106,0)</f>
        <v/>
      </c>
      <c r="U141" s="18">
        <f>IF(20=1,Assumptions!B106,0)</f>
        <v/>
      </c>
      <c r="V141" s="18">
        <f>IF(21=1,Assumptions!B106,0)</f>
        <v/>
      </c>
      <c r="W141" s="18">
        <f>IF(22=1,Assumptions!B106,0)</f>
        <v/>
      </c>
      <c r="X141" s="18">
        <f>IF(23=1,Assumptions!B106,0)</f>
        <v/>
      </c>
      <c r="Y141" s="18">
        <f>IF(24=1,Assumptions!B106,0)</f>
        <v/>
      </c>
      <c r="Z141" s="18">
        <f>SUM(B141:Y141)</f>
        <v/>
      </c>
    </row>
    <row r="142">
      <c r="A142" s="17" t="inlineStr">
        <is>
          <t xml:space="preserve">  Privacy Policy + ToS (M1) (P6)</t>
        </is>
      </c>
      <c r="B142" s="18">
        <f>IF(1=1,Assumptions!B107,0)</f>
        <v/>
      </c>
      <c r="C142" s="18">
        <f>IF(2=1,Assumptions!B107,0)</f>
        <v/>
      </c>
      <c r="D142" s="18">
        <f>IF(3=1,Assumptions!B107,0)</f>
        <v/>
      </c>
      <c r="E142" s="18">
        <f>IF(4=1,Assumptions!B107,0)</f>
        <v/>
      </c>
      <c r="F142" s="18">
        <f>IF(5=1,Assumptions!B107,0)</f>
        <v/>
      </c>
      <c r="G142" s="18">
        <f>IF(6=1,Assumptions!B107,0)</f>
        <v/>
      </c>
      <c r="H142" s="18">
        <f>IF(7=1,Assumptions!B107,0)</f>
        <v/>
      </c>
      <c r="I142" s="18">
        <f>IF(8=1,Assumptions!B107,0)</f>
        <v/>
      </c>
      <c r="J142" s="18">
        <f>IF(9=1,Assumptions!B107,0)</f>
        <v/>
      </c>
      <c r="K142" s="18">
        <f>IF(10=1,Assumptions!B107,0)</f>
        <v/>
      </c>
      <c r="L142" s="18">
        <f>IF(11=1,Assumptions!B107,0)</f>
        <v/>
      </c>
      <c r="M142" s="18">
        <f>IF(12=1,Assumptions!B107,0)</f>
        <v/>
      </c>
      <c r="N142" s="18">
        <f>IF(13=1,Assumptions!B107,0)</f>
        <v/>
      </c>
      <c r="O142" s="18">
        <f>IF(14=1,Assumptions!B107,0)</f>
        <v/>
      </c>
      <c r="P142" s="18">
        <f>IF(15=1,Assumptions!B107,0)</f>
        <v/>
      </c>
      <c r="Q142" s="18">
        <f>IF(16=1,Assumptions!B107,0)</f>
        <v/>
      </c>
      <c r="R142" s="18">
        <f>IF(17=1,Assumptions!B107,0)</f>
        <v/>
      </c>
      <c r="S142" s="18">
        <f>IF(18=1,Assumptions!B107,0)</f>
        <v/>
      </c>
      <c r="T142" s="18">
        <f>IF(19=1,Assumptions!B107,0)</f>
        <v/>
      </c>
      <c r="U142" s="18">
        <f>IF(20=1,Assumptions!B107,0)</f>
        <v/>
      </c>
      <c r="V142" s="18">
        <f>IF(21=1,Assumptions!B107,0)</f>
        <v/>
      </c>
      <c r="W142" s="18">
        <f>IF(22=1,Assumptions!B107,0)</f>
        <v/>
      </c>
      <c r="X142" s="18">
        <f>IF(23=1,Assumptions!B107,0)</f>
        <v/>
      </c>
      <c r="Y142" s="18">
        <f>IF(24=1,Assumptions!B107,0)</f>
        <v/>
      </c>
      <c r="Z142" s="18">
        <f>SUM(B142:Y142)</f>
        <v/>
      </c>
    </row>
    <row r="143">
      <c r="A143" s="17" t="inlineStr">
        <is>
          <t xml:space="preserve">  App Design &amp; Development (M1)</t>
        </is>
      </c>
      <c r="B143" s="18">
        <f>IF(1=1,Assumptions!B108,0)</f>
        <v/>
      </c>
      <c r="C143" s="18">
        <f>IF(2=1,Assumptions!B108,0)</f>
        <v/>
      </c>
      <c r="D143" s="18">
        <f>IF(3=1,Assumptions!B108,0)</f>
        <v/>
      </c>
      <c r="E143" s="18">
        <f>IF(4=1,Assumptions!B108,0)</f>
        <v/>
      </c>
      <c r="F143" s="18">
        <f>IF(5=1,Assumptions!B108,0)</f>
        <v/>
      </c>
      <c r="G143" s="18">
        <f>IF(6=1,Assumptions!B108,0)</f>
        <v/>
      </c>
      <c r="H143" s="18">
        <f>IF(7=1,Assumptions!B108,0)</f>
        <v/>
      </c>
      <c r="I143" s="18">
        <f>IF(8=1,Assumptions!B108,0)</f>
        <v/>
      </c>
      <c r="J143" s="18">
        <f>IF(9=1,Assumptions!B108,0)</f>
        <v/>
      </c>
      <c r="K143" s="18">
        <f>IF(10=1,Assumptions!B108,0)</f>
        <v/>
      </c>
      <c r="L143" s="18">
        <f>IF(11=1,Assumptions!B108,0)</f>
        <v/>
      </c>
      <c r="M143" s="18">
        <f>IF(12=1,Assumptions!B108,0)</f>
        <v/>
      </c>
      <c r="N143" s="18">
        <f>IF(13=1,Assumptions!B108,0)</f>
        <v/>
      </c>
      <c r="O143" s="18">
        <f>IF(14=1,Assumptions!B108,0)</f>
        <v/>
      </c>
      <c r="P143" s="18">
        <f>IF(15=1,Assumptions!B108,0)</f>
        <v/>
      </c>
      <c r="Q143" s="18">
        <f>IF(16=1,Assumptions!B108,0)</f>
        <v/>
      </c>
      <c r="R143" s="18">
        <f>IF(17=1,Assumptions!B108,0)</f>
        <v/>
      </c>
      <c r="S143" s="18">
        <f>IF(18=1,Assumptions!B108,0)</f>
        <v/>
      </c>
      <c r="T143" s="18">
        <f>IF(19=1,Assumptions!B108,0)</f>
        <v/>
      </c>
      <c r="U143" s="18">
        <f>IF(20=1,Assumptions!B108,0)</f>
        <v/>
      </c>
      <c r="V143" s="18">
        <f>IF(21=1,Assumptions!B108,0)</f>
        <v/>
      </c>
      <c r="W143" s="18">
        <f>IF(22=1,Assumptions!B108,0)</f>
        <v/>
      </c>
      <c r="X143" s="18">
        <f>IF(23=1,Assumptions!B108,0)</f>
        <v/>
      </c>
      <c r="Y143" s="18">
        <f>IF(24=1,Assumptions!B108,0)</f>
        <v/>
      </c>
      <c r="Z143" s="18">
        <f>SUM(B143:Y143)</f>
        <v/>
      </c>
    </row>
    <row r="144">
      <c r="A144" s="17" t="inlineStr">
        <is>
          <t xml:space="preserve">  Space Buildout (M3) (P3: was EUR 15K)</t>
        </is>
      </c>
      <c r="B144" s="18">
        <f>IF(1=3,Assumptions!B109,0)</f>
        <v/>
      </c>
      <c r="C144" s="18">
        <f>IF(2=3,Assumptions!B109,0)</f>
        <v/>
      </c>
      <c r="D144" s="18">
        <f>IF(3=3,Assumptions!B109,0)</f>
        <v/>
      </c>
      <c r="E144" s="18">
        <f>IF(4=3,Assumptions!B109,0)</f>
        <v/>
      </c>
      <c r="F144" s="18">
        <f>IF(5=3,Assumptions!B109,0)</f>
        <v/>
      </c>
      <c r="G144" s="18">
        <f>IF(6=3,Assumptions!B109,0)</f>
        <v/>
      </c>
      <c r="H144" s="18">
        <f>IF(7=3,Assumptions!B109,0)</f>
        <v/>
      </c>
      <c r="I144" s="18">
        <f>IF(8=3,Assumptions!B109,0)</f>
        <v/>
      </c>
      <c r="J144" s="18">
        <f>IF(9=3,Assumptions!B109,0)</f>
        <v/>
      </c>
      <c r="K144" s="18">
        <f>IF(10=3,Assumptions!B109,0)</f>
        <v/>
      </c>
      <c r="L144" s="18">
        <f>IF(11=3,Assumptions!B109,0)</f>
        <v/>
      </c>
      <c r="M144" s="18">
        <f>IF(12=3,Assumptions!B109,0)</f>
        <v/>
      </c>
      <c r="N144" s="18">
        <f>IF(13=3,Assumptions!B109,0)</f>
        <v/>
      </c>
      <c r="O144" s="18">
        <f>IF(14=3,Assumptions!B109,0)</f>
        <v/>
      </c>
      <c r="P144" s="18">
        <f>IF(15=3,Assumptions!B109,0)</f>
        <v/>
      </c>
      <c r="Q144" s="18">
        <f>IF(16=3,Assumptions!B109,0)</f>
        <v/>
      </c>
      <c r="R144" s="18">
        <f>IF(17=3,Assumptions!B109,0)</f>
        <v/>
      </c>
      <c r="S144" s="18">
        <f>IF(18=3,Assumptions!B109,0)</f>
        <v/>
      </c>
      <c r="T144" s="18">
        <f>IF(19=3,Assumptions!B109,0)</f>
        <v/>
      </c>
      <c r="U144" s="18">
        <f>IF(20=3,Assumptions!B109,0)</f>
        <v/>
      </c>
      <c r="V144" s="18">
        <f>IF(21=3,Assumptions!B109,0)</f>
        <v/>
      </c>
      <c r="W144" s="18">
        <f>IF(22=3,Assumptions!B109,0)</f>
        <v/>
      </c>
      <c r="X144" s="18">
        <f>IF(23=3,Assumptions!B109,0)</f>
        <v/>
      </c>
      <c r="Y144" s="18">
        <f>IF(24=3,Assumptions!B109,0)</f>
        <v/>
      </c>
      <c r="Z144" s="18">
        <f>SUM(B144:Y144)</f>
        <v/>
      </c>
    </row>
    <row r="145">
      <c r="A145" s="17" t="inlineStr">
        <is>
          <t xml:space="preserve">  Kitchen Equipment (M3)</t>
        </is>
      </c>
      <c r="B145" s="18">
        <f>IF(1=3,Assumptions!B110,0)</f>
        <v/>
      </c>
      <c r="C145" s="18">
        <f>IF(2=3,Assumptions!B110,0)</f>
        <v/>
      </c>
      <c r="D145" s="18">
        <f>IF(3=3,Assumptions!B110,0)</f>
        <v/>
      </c>
      <c r="E145" s="18">
        <f>IF(4=3,Assumptions!B110,0)</f>
        <v/>
      </c>
      <c r="F145" s="18">
        <f>IF(5=3,Assumptions!B110,0)</f>
        <v/>
      </c>
      <c r="G145" s="18">
        <f>IF(6=3,Assumptions!B110,0)</f>
        <v/>
      </c>
      <c r="H145" s="18">
        <f>IF(7=3,Assumptions!B110,0)</f>
        <v/>
      </c>
      <c r="I145" s="18">
        <f>IF(8=3,Assumptions!B110,0)</f>
        <v/>
      </c>
      <c r="J145" s="18">
        <f>IF(9=3,Assumptions!B110,0)</f>
        <v/>
      </c>
      <c r="K145" s="18">
        <f>IF(10=3,Assumptions!B110,0)</f>
        <v/>
      </c>
      <c r="L145" s="18">
        <f>IF(11=3,Assumptions!B110,0)</f>
        <v/>
      </c>
      <c r="M145" s="18">
        <f>IF(12=3,Assumptions!B110,0)</f>
        <v/>
      </c>
      <c r="N145" s="18">
        <f>IF(13=3,Assumptions!B110,0)</f>
        <v/>
      </c>
      <c r="O145" s="18">
        <f>IF(14=3,Assumptions!B110,0)</f>
        <v/>
      </c>
      <c r="P145" s="18">
        <f>IF(15=3,Assumptions!B110,0)</f>
        <v/>
      </c>
      <c r="Q145" s="18">
        <f>IF(16=3,Assumptions!B110,0)</f>
        <v/>
      </c>
      <c r="R145" s="18">
        <f>IF(17=3,Assumptions!B110,0)</f>
        <v/>
      </c>
      <c r="S145" s="18">
        <f>IF(18=3,Assumptions!B110,0)</f>
        <v/>
      </c>
      <c r="T145" s="18">
        <f>IF(19=3,Assumptions!B110,0)</f>
        <v/>
      </c>
      <c r="U145" s="18">
        <f>IF(20=3,Assumptions!B110,0)</f>
        <v/>
      </c>
      <c r="V145" s="18">
        <f>IF(21=3,Assumptions!B110,0)</f>
        <v/>
      </c>
      <c r="W145" s="18">
        <f>IF(22=3,Assumptions!B110,0)</f>
        <v/>
      </c>
      <c r="X145" s="18">
        <f>IF(23=3,Assumptions!B110,0)</f>
        <v/>
      </c>
      <c r="Y145" s="18">
        <f>IF(24=3,Assumptions!B110,0)</f>
        <v/>
      </c>
      <c r="Z145" s="18">
        <f>SUM(B145:Y145)</f>
        <v/>
      </c>
    </row>
    <row r="146">
      <c r="A146" s="17" t="inlineStr">
        <is>
          <t xml:space="preserve">  LED Devices (M3)</t>
        </is>
      </c>
      <c r="B146" s="18">
        <f>IF(1=3,Assumptions!B111,0)</f>
        <v/>
      </c>
      <c r="C146" s="18">
        <f>IF(2=3,Assumptions!B111,0)</f>
        <v/>
      </c>
      <c r="D146" s="18">
        <f>IF(3=3,Assumptions!B111,0)</f>
        <v/>
      </c>
      <c r="E146" s="18">
        <f>IF(4=3,Assumptions!B111,0)</f>
        <v/>
      </c>
      <c r="F146" s="18">
        <f>IF(5=3,Assumptions!B111,0)</f>
        <v/>
      </c>
      <c r="G146" s="18">
        <f>IF(6=3,Assumptions!B111,0)</f>
        <v/>
      </c>
      <c r="H146" s="18">
        <f>IF(7=3,Assumptions!B111,0)</f>
        <v/>
      </c>
      <c r="I146" s="18">
        <f>IF(8=3,Assumptions!B111,0)</f>
        <v/>
      </c>
      <c r="J146" s="18">
        <f>IF(9=3,Assumptions!B111,0)</f>
        <v/>
      </c>
      <c r="K146" s="18">
        <f>IF(10=3,Assumptions!B111,0)</f>
        <v/>
      </c>
      <c r="L146" s="18">
        <f>IF(11=3,Assumptions!B111,0)</f>
        <v/>
      </c>
      <c r="M146" s="18">
        <f>IF(12=3,Assumptions!B111,0)</f>
        <v/>
      </c>
      <c r="N146" s="18">
        <f>IF(13=3,Assumptions!B111,0)</f>
        <v/>
      </c>
      <c r="O146" s="18">
        <f>IF(14=3,Assumptions!B111,0)</f>
        <v/>
      </c>
      <c r="P146" s="18">
        <f>IF(15=3,Assumptions!B111,0)</f>
        <v/>
      </c>
      <c r="Q146" s="18">
        <f>IF(16=3,Assumptions!B111,0)</f>
        <v/>
      </c>
      <c r="R146" s="18">
        <f>IF(17=3,Assumptions!B111,0)</f>
        <v/>
      </c>
      <c r="S146" s="18">
        <f>IF(18=3,Assumptions!B111,0)</f>
        <v/>
      </c>
      <c r="T146" s="18">
        <f>IF(19=3,Assumptions!B111,0)</f>
        <v/>
      </c>
      <c r="U146" s="18">
        <f>IF(20=3,Assumptions!B111,0)</f>
        <v/>
      </c>
      <c r="V146" s="18">
        <f>IF(21=3,Assumptions!B111,0)</f>
        <v/>
      </c>
      <c r="W146" s="18">
        <f>IF(22=3,Assumptions!B111,0)</f>
        <v/>
      </c>
      <c r="X146" s="18">
        <f>IF(23=3,Assumptions!B111,0)</f>
        <v/>
      </c>
      <c r="Y146" s="18">
        <f>IF(24=3,Assumptions!B111,0)</f>
        <v/>
      </c>
      <c r="Z146" s="18">
        <f>SUM(B146:Y146)</f>
        <v/>
      </c>
    </row>
    <row r="147">
      <c r="A147" s="17" t="inlineStr">
        <is>
          <t xml:space="preserve">  Fire Safety Equipment (M3) (P3)</t>
        </is>
      </c>
      <c r="B147" s="18">
        <f>IF(1=3,Assumptions!B112,0)</f>
        <v/>
      </c>
      <c r="C147" s="18">
        <f>IF(2=3,Assumptions!B112,0)</f>
        <v/>
      </c>
      <c r="D147" s="18">
        <f>IF(3=3,Assumptions!B112,0)</f>
        <v/>
      </c>
      <c r="E147" s="18">
        <f>IF(4=3,Assumptions!B112,0)</f>
        <v/>
      </c>
      <c r="F147" s="18">
        <f>IF(5=3,Assumptions!B112,0)</f>
        <v/>
      </c>
      <c r="G147" s="18">
        <f>IF(6=3,Assumptions!B112,0)</f>
        <v/>
      </c>
      <c r="H147" s="18">
        <f>IF(7=3,Assumptions!B112,0)</f>
        <v/>
      </c>
      <c r="I147" s="18">
        <f>IF(8=3,Assumptions!B112,0)</f>
        <v/>
      </c>
      <c r="J147" s="18">
        <f>IF(9=3,Assumptions!B112,0)</f>
        <v/>
      </c>
      <c r="K147" s="18">
        <f>IF(10=3,Assumptions!B112,0)</f>
        <v/>
      </c>
      <c r="L147" s="18">
        <f>IF(11=3,Assumptions!B112,0)</f>
        <v/>
      </c>
      <c r="M147" s="18">
        <f>IF(12=3,Assumptions!B112,0)</f>
        <v/>
      </c>
      <c r="N147" s="18">
        <f>IF(13=3,Assumptions!B112,0)</f>
        <v/>
      </c>
      <c r="O147" s="18">
        <f>IF(14=3,Assumptions!B112,0)</f>
        <v/>
      </c>
      <c r="P147" s="18">
        <f>IF(15=3,Assumptions!B112,0)</f>
        <v/>
      </c>
      <c r="Q147" s="18">
        <f>IF(16=3,Assumptions!B112,0)</f>
        <v/>
      </c>
      <c r="R147" s="18">
        <f>IF(17=3,Assumptions!B112,0)</f>
        <v/>
      </c>
      <c r="S147" s="18">
        <f>IF(18=3,Assumptions!B112,0)</f>
        <v/>
      </c>
      <c r="T147" s="18">
        <f>IF(19=3,Assumptions!B112,0)</f>
        <v/>
      </c>
      <c r="U147" s="18">
        <f>IF(20=3,Assumptions!B112,0)</f>
        <v/>
      </c>
      <c r="V147" s="18">
        <f>IF(21=3,Assumptions!B112,0)</f>
        <v/>
      </c>
      <c r="W147" s="18">
        <f>IF(22=3,Assumptions!B112,0)</f>
        <v/>
      </c>
      <c r="X147" s="18">
        <f>IF(23=3,Assumptions!B112,0)</f>
        <v/>
      </c>
      <c r="Y147" s="18">
        <f>IF(24=3,Assumptions!B112,0)</f>
        <v/>
      </c>
      <c r="Z147" s="18">
        <f>SUM(B147:Y147)</f>
        <v/>
      </c>
    </row>
    <row r="148">
      <c r="A148" s="17" t="inlineStr">
        <is>
          <t xml:space="preserve">  Signage &amp; Branding (M3) (P3)</t>
        </is>
      </c>
      <c r="B148" s="18">
        <f>IF(1=3,Assumptions!B113,0)</f>
        <v/>
      </c>
      <c r="C148" s="18">
        <f>IF(2=3,Assumptions!B113,0)</f>
        <v/>
      </c>
      <c r="D148" s="18">
        <f>IF(3=3,Assumptions!B113,0)</f>
        <v/>
      </c>
      <c r="E148" s="18">
        <f>IF(4=3,Assumptions!B113,0)</f>
        <v/>
      </c>
      <c r="F148" s="18">
        <f>IF(5=3,Assumptions!B113,0)</f>
        <v/>
      </c>
      <c r="G148" s="18">
        <f>IF(6=3,Assumptions!B113,0)</f>
        <v/>
      </c>
      <c r="H148" s="18">
        <f>IF(7=3,Assumptions!B113,0)</f>
        <v/>
      </c>
      <c r="I148" s="18">
        <f>IF(8=3,Assumptions!B113,0)</f>
        <v/>
      </c>
      <c r="J148" s="18">
        <f>IF(9=3,Assumptions!B113,0)</f>
        <v/>
      </c>
      <c r="K148" s="18">
        <f>IF(10=3,Assumptions!B113,0)</f>
        <v/>
      </c>
      <c r="L148" s="18">
        <f>IF(11=3,Assumptions!B113,0)</f>
        <v/>
      </c>
      <c r="M148" s="18">
        <f>IF(12=3,Assumptions!B113,0)</f>
        <v/>
      </c>
      <c r="N148" s="18">
        <f>IF(13=3,Assumptions!B113,0)</f>
        <v/>
      </c>
      <c r="O148" s="18">
        <f>IF(14=3,Assumptions!B113,0)</f>
        <v/>
      </c>
      <c r="P148" s="18">
        <f>IF(15=3,Assumptions!B113,0)</f>
        <v/>
      </c>
      <c r="Q148" s="18">
        <f>IF(16=3,Assumptions!B113,0)</f>
        <v/>
      </c>
      <c r="R148" s="18">
        <f>IF(17=3,Assumptions!B113,0)</f>
        <v/>
      </c>
      <c r="S148" s="18">
        <f>IF(18=3,Assumptions!B113,0)</f>
        <v/>
      </c>
      <c r="T148" s="18">
        <f>IF(19=3,Assumptions!B113,0)</f>
        <v/>
      </c>
      <c r="U148" s="18">
        <f>IF(20=3,Assumptions!B113,0)</f>
        <v/>
      </c>
      <c r="V148" s="18">
        <f>IF(21=3,Assumptions!B113,0)</f>
        <v/>
      </c>
      <c r="W148" s="18">
        <f>IF(22=3,Assumptions!B113,0)</f>
        <v/>
      </c>
      <c r="X148" s="18">
        <f>IF(23=3,Assumptions!B113,0)</f>
        <v/>
      </c>
      <c r="Y148" s="18">
        <f>IF(24=3,Assumptions!B113,0)</f>
        <v/>
      </c>
      <c r="Z148" s="18">
        <f>SUM(B148:Y148)</f>
        <v/>
      </c>
    </row>
    <row r="149">
      <c r="A149" s="17" t="inlineStr">
        <is>
          <t xml:space="preserve">  HACCP Plan Setup (M3) (P4)</t>
        </is>
      </c>
      <c r="B149" s="18">
        <f>IF(1=3,Assumptions!B114,0)</f>
        <v/>
      </c>
      <c r="C149" s="18">
        <f>IF(2=3,Assumptions!B114,0)</f>
        <v/>
      </c>
      <c r="D149" s="18">
        <f>IF(3=3,Assumptions!B114,0)</f>
        <v/>
      </c>
      <c r="E149" s="18">
        <f>IF(4=3,Assumptions!B114,0)</f>
        <v/>
      </c>
      <c r="F149" s="18">
        <f>IF(5=3,Assumptions!B114,0)</f>
        <v/>
      </c>
      <c r="G149" s="18">
        <f>IF(6=3,Assumptions!B114,0)</f>
        <v/>
      </c>
      <c r="H149" s="18">
        <f>IF(7=3,Assumptions!B114,0)</f>
        <v/>
      </c>
      <c r="I149" s="18">
        <f>IF(8=3,Assumptions!B114,0)</f>
        <v/>
      </c>
      <c r="J149" s="18">
        <f>IF(9=3,Assumptions!B114,0)</f>
        <v/>
      </c>
      <c r="K149" s="18">
        <f>IF(10=3,Assumptions!B114,0)</f>
        <v/>
      </c>
      <c r="L149" s="18">
        <f>IF(11=3,Assumptions!B114,0)</f>
        <v/>
      </c>
      <c r="M149" s="18">
        <f>IF(12=3,Assumptions!B114,0)</f>
        <v/>
      </c>
      <c r="N149" s="18">
        <f>IF(13=3,Assumptions!B114,0)</f>
        <v/>
      </c>
      <c r="O149" s="18">
        <f>IF(14=3,Assumptions!B114,0)</f>
        <v/>
      </c>
      <c r="P149" s="18">
        <f>IF(15=3,Assumptions!B114,0)</f>
        <v/>
      </c>
      <c r="Q149" s="18">
        <f>IF(16=3,Assumptions!B114,0)</f>
        <v/>
      </c>
      <c r="R149" s="18">
        <f>IF(17=3,Assumptions!B114,0)</f>
        <v/>
      </c>
      <c r="S149" s="18">
        <f>IF(18=3,Assumptions!B114,0)</f>
        <v/>
      </c>
      <c r="T149" s="18">
        <f>IF(19=3,Assumptions!B114,0)</f>
        <v/>
      </c>
      <c r="U149" s="18">
        <f>IF(20=3,Assumptions!B114,0)</f>
        <v/>
      </c>
      <c r="V149" s="18">
        <f>IF(21=3,Assumptions!B114,0)</f>
        <v/>
      </c>
      <c r="W149" s="18">
        <f>IF(22=3,Assumptions!B114,0)</f>
        <v/>
      </c>
      <c r="X149" s="18">
        <f>IF(23=3,Assumptions!B114,0)</f>
        <v/>
      </c>
      <c r="Y149" s="18">
        <f>IF(24=3,Assumptions!B114,0)</f>
        <v/>
      </c>
      <c r="Z149" s="18">
        <f>SUM(B149:Y149)</f>
        <v/>
      </c>
    </row>
    <row r="150">
      <c r="A150" s="17" t="inlineStr">
        <is>
          <t xml:space="preserve">  Hygiene Training (M3) (P4)</t>
        </is>
      </c>
      <c r="B150" s="18">
        <f>IF(1=3,Assumptions!B115,0)</f>
        <v/>
      </c>
      <c r="C150" s="18">
        <f>IF(2=3,Assumptions!B115,0)</f>
        <v/>
      </c>
      <c r="D150" s="18">
        <f>IF(3=3,Assumptions!B115,0)</f>
        <v/>
      </c>
      <c r="E150" s="18">
        <f>IF(4=3,Assumptions!B115,0)</f>
        <v/>
      </c>
      <c r="F150" s="18">
        <f>IF(5=3,Assumptions!B115,0)</f>
        <v/>
      </c>
      <c r="G150" s="18">
        <f>IF(6=3,Assumptions!B115,0)</f>
        <v/>
      </c>
      <c r="H150" s="18">
        <f>IF(7=3,Assumptions!B115,0)</f>
        <v/>
      </c>
      <c r="I150" s="18">
        <f>IF(8=3,Assumptions!B115,0)</f>
        <v/>
      </c>
      <c r="J150" s="18">
        <f>IF(9=3,Assumptions!B115,0)</f>
        <v/>
      </c>
      <c r="K150" s="18">
        <f>IF(10=3,Assumptions!B115,0)</f>
        <v/>
      </c>
      <c r="L150" s="18">
        <f>IF(11=3,Assumptions!B115,0)</f>
        <v/>
      </c>
      <c r="M150" s="18">
        <f>IF(12=3,Assumptions!B115,0)</f>
        <v/>
      </c>
      <c r="N150" s="18">
        <f>IF(13=3,Assumptions!B115,0)</f>
        <v/>
      </c>
      <c r="O150" s="18">
        <f>IF(14=3,Assumptions!B115,0)</f>
        <v/>
      </c>
      <c r="P150" s="18">
        <f>IF(15=3,Assumptions!B115,0)</f>
        <v/>
      </c>
      <c r="Q150" s="18">
        <f>IF(16=3,Assumptions!B115,0)</f>
        <v/>
      </c>
      <c r="R150" s="18">
        <f>IF(17=3,Assumptions!B115,0)</f>
        <v/>
      </c>
      <c r="S150" s="18">
        <f>IF(18=3,Assumptions!B115,0)</f>
        <v/>
      </c>
      <c r="T150" s="18">
        <f>IF(19=3,Assumptions!B115,0)</f>
        <v/>
      </c>
      <c r="U150" s="18">
        <f>IF(20=3,Assumptions!B115,0)</f>
        <v/>
      </c>
      <c r="V150" s="18">
        <f>IF(21=3,Assumptions!B115,0)</f>
        <v/>
      </c>
      <c r="W150" s="18">
        <f>IF(22=3,Assumptions!B115,0)</f>
        <v/>
      </c>
      <c r="X150" s="18">
        <f>IF(23=3,Assumptions!B115,0)</f>
        <v/>
      </c>
      <c r="Y150" s="18">
        <f>IF(24=3,Assumptions!B115,0)</f>
        <v/>
      </c>
      <c r="Z150" s="18">
        <f>SUM(B150:Y150)</f>
        <v/>
      </c>
    </row>
    <row r="151">
      <c r="A151" s="17" t="inlineStr">
        <is>
          <t xml:space="preserve">  Food Safety Equipment (M3) (P4)</t>
        </is>
      </c>
      <c r="B151" s="18">
        <f>IF(1=3,Assumptions!B116,0)</f>
        <v/>
      </c>
      <c r="C151" s="18">
        <f>IF(2=3,Assumptions!B116,0)</f>
        <v/>
      </c>
      <c r="D151" s="18">
        <f>IF(3=3,Assumptions!B116,0)</f>
        <v/>
      </c>
      <c r="E151" s="18">
        <f>IF(4=3,Assumptions!B116,0)</f>
        <v/>
      </c>
      <c r="F151" s="18">
        <f>IF(5=3,Assumptions!B116,0)</f>
        <v/>
      </c>
      <c r="G151" s="18">
        <f>IF(6=3,Assumptions!B116,0)</f>
        <v/>
      </c>
      <c r="H151" s="18">
        <f>IF(7=3,Assumptions!B116,0)</f>
        <v/>
      </c>
      <c r="I151" s="18">
        <f>IF(8=3,Assumptions!B116,0)</f>
        <v/>
      </c>
      <c r="J151" s="18">
        <f>IF(9=3,Assumptions!B116,0)</f>
        <v/>
      </c>
      <c r="K151" s="18">
        <f>IF(10=3,Assumptions!B116,0)</f>
        <v/>
      </c>
      <c r="L151" s="18">
        <f>IF(11=3,Assumptions!B116,0)</f>
        <v/>
      </c>
      <c r="M151" s="18">
        <f>IF(12=3,Assumptions!B116,0)</f>
        <v/>
      </c>
      <c r="N151" s="18">
        <f>IF(13=3,Assumptions!B116,0)</f>
        <v/>
      </c>
      <c r="O151" s="18">
        <f>IF(14=3,Assumptions!B116,0)</f>
        <v/>
      </c>
      <c r="P151" s="18">
        <f>IF(15=3,Assumptions!B116,0)</f>
        <v/>
      </c>
      <c r="Q151" s="18">
        <f>IF(16=3,Assumptions!B116,0)</f>
        <v/>
      </c>
      <c r="R151" s="18">
        <f>IF(17=3,Assumptions!B116,0)</f>
        <v/>
      </c>
      <c r="S151" s="18">
        <f>IF(18=3,Assumptions!B116,0)</f>
        <v/>
      </c>
      <c r="T151" s="18">
        <f>IF(19=3,Assumptions!B116,0)</f>
        <v/>
      </c>
      <c r="U151" s="18">
        <f>IF(20=3,Assumptions!B116,0)</f>
        <v/>
      </c>
      <c r="V151" s="18">
        <f>IF(21=3,Assumptions!B116,0)</f>
        <v/>
      </c>
      <c r="W151" s="18">
        <f>IF(22=3,Assumptions!B116,0)</f>
        <v/>
      </c>
      <c r="X151" s="18">
        <f>IF(23=3,Assumptions!B116,0)</f>
        <v/>
      </c>
      <c r="Y151" s="18">
        <f>IF(24=3,Assumptions!B116,0)</f>
        <v/>
      </c>
      <c r="Z151" s="18">
        <f>SUM(B151:Y151)</f>
        <v/>
      </c>
    </row>
    <row r="152">
      <c r="A152" s="17" t="inlineStr">
        <is>
          <t xml:space="preserve">  Ablöse — Key Money (M3)</t>
        </is>
      </c>
      <c r="B152" s="18">
        <f>IF(1=3,Assumptions!B117,0)</f>
        <v/>
      </c>
      <c r="C152" s="18">
        <f>IF(2=3,Assumptions!B117,0)</f>
        <v/>
      </c>
      <c r="D152" s="18">
        <f>IF(3=3,Assumptions!B117,0)</f>
        <v/>
      </c>
      <c r="E152" s="18">
        <f>IF(4=3,Assumptions!B117,0)</f>
        <v/>
      </c>
      <c r="F152" s="18">
        <f>IF(5=3,Assumptions!B117,0)</f>
        <v/>
      </c>
      <c r="G152" s="18">
        <f>IF(6=3,Assumptions!B117,0)</f>
        <v/>
      </c>
      <c r="H152" s="18">
        <f>IF(7=3,Assumptions!B117,0)</f>
        <v/>
      </c>
      <c r="I152" s="18">
        <f>IF(8=3,Assumptions!B117,0)</f>
        <v/>
      </c>
      <c r="J152" s="18">
        <f>IF(9=3,Assumptions!B117,0)</f>
        <v/>
      </c>
      <c r="K152" s="18">
        <f>IF(10=3,Assumptions!B117,0)</f>
        <v/>
      </c>
      <c r="L152" s="18">
        <f>IF(11=3,Assumptions!B117,0)</f>
        <v/>
      </c>
      <c r="M152" s="18">
        <f>IF(12=3,Assumptions!B117,0)</f>
        <v/>
      </c>
      <c r="N152" s="18">
        <f>IF(13=3,Assumptions!B117,0)</f>
        <v/>
      </c>
      <c r="O152" s="18">
        <f>IF(14=3,Assumptions!B117,0)</f>
        <v/>
      </c>
      <c r="P152" s="18">
        <f>IF(15=3,Assumptions!B117,0)</f>
        <v/>
      </c>
      <c r="Q152" s="18">
        <f>IF(16=3,Assumptions!B117,0)</f>
        <v/>
      </c>
      <c r="R152" s="18">
        <f>IF(17=3,Assumptions!B117,0)</f>
        <v/>
      </c>
      <c r="S152" s="18">
        <f>IF(18=3,Assumptions!B117,0)</f>
        <v/>
      </c>
      <c r="T152" s="18">
        <f>IF(19=3,Assumptions!B117,0)</f>
        <v/>
      </c>
      <c r="U152" s="18">
        <f>IF(20=3,Assumptions!B117,0)</f>
        <v/>
      </c>
      <c r="V152" s="18">
        <f>IF(21=3,Assumptions!B117,0)</f>
        <v/>
      </c>
      <c r="W152" s="18">
        <f>IF(22=3,Assumptions!B117,0)</f>
        <v/>
      </c>
      <c r="X152" s="18">
        <f>IF(23=3,Assumptions!B117,0)</f>
        <v/>
      </c>
      <c r="Y152" s="18">
        <f>IF(24=3,Assumptions!B117,0)</f>
        <v/>
      </c>
      <c r="Z152" s="18">
        <f>SUM(B152:Y152)</f>
        <v/>
      </c>
    </row>
    <row r="153">
      <c r="A153" s="17" t="inlineStr">
        <is>
          <t xml:space="preserve">  App MVP Build — FlutterFlow M1 (EX-06)</t>
        </is>
      </c>
      <c r="B153" s="18">
        <f>IF(1=1,Assumptions!B136,0)</f>
        <v/>
      </c>
      <c r="C153" s="18">
        <f>IF(2=1,Assumptions!B136,0)</f>
        <v/>
      </c>
      <c r="D153" s="18">
        <f>IF(3=1,Assumptions!B136,0)</f>
        <v/>
      </c>
      <c r="E153" s="18">
        <f>IF(4=1,Assumptions!B136,0)</f>
        <v/>
      </c>
      <c r="F153" s="18">
        <f>IF(5=1,Assumptions!B136,0)</f>
        <v/>
      </c>
      <c r="G153" s="18">
        <f>IF(6=1,Assumptions!B136,0)</f>
        <v/>
      </c>
      <c r="H153" s="18">
        <f>IF(7=1,Assumptions!B136,0)</f>
        <v/>
      </c>
      <c r="I153" s="18">
        <f>IF(8=1,Assumptions!B136,0)</f>
        <v/>
      </c>
      <c r="J153" s="18">
        <f>IF(9=1,Assumptions!B136,0)</f>
        <v/>
      </c>
      <c r="K153" s="18">
        <f>IF(10=1,Assumptions!B136,0)</f>
        <v/>
      </c>
      <c r="L153" s="18">
        <f>IF(11=1,Assumptions!B136,0)</f>
        <v/>
      </c>
      <c r="M153" s="18">
        <f>IF(12=1,Assumptions!B136,0)</f>
        <v/>
      </c>
      <c r="N153" s="18">
        <f>IF(13=1,Assumptions!B136,0)</f>
        <v/>
      </c>
      <c r="O153" s="18">
        <f>IF(14=1,Assumptions!B136,0)</f>
        <v/>
      </c>
      <c r="P153" s="18">
        <f>IF(15=1,Assumptions!B136,0)</f>
        <v/>
      </c>
      <c r="Q153" s="18">
        <f>IF(16=1,Assumptions!B136,0)</f>
        <v/>
      </c>
      <c r="R153" s="18">
        <f>IF(17=1,Assumptions!B136,0)</f>
        <v/>
      </c>
      <c r="S153" s="18">
        <f>IF(18=1,Assumptions!B136,0)</f>
        <v/>
      </c>
      <c r="T153" s="18">
        <f>IF(19=1,Assumptions!B136,0)</f>
        <v/>
      </c>
      <c r="U153" s="18">
        <f>IF(20=1,Assumptions!B136,0)</f>
        <v/>
      </c>
      <c r="V153" s="18">
        <f>IF(21=1,Assumptions!B136,0)</f>
        <v/>
      </c>
      <c r="W153" s="18">
        <f>IF(22=1,Assumptions!B136,0)</f>
        <v/>
      </c>
      <c r="X153" s="18">
        <f>IF(23=1,Assumptions!B136,0)</f>
        <v/>
      </c>
      <c r="Y153" s="18">
        <f>IF(24=1,Assumptions!B136,0)</f>
        <v/>
      </c>
      <c r="Z153" s="18">
        <f>SUM(B153:Y153)</f>
        <v/>
      </c>
    </row>
    <row r="154">
      <c r="A154" s="17" t="inlineStr">
        <is>
          <t xml:space="preserve">  POS Hardware + TSE M3 (EX-11: SumUp Kit, TSE module)</t>
        </is>
      </c>
      <c r="B154" s="18">
        <f>IF(1=3,Assumptions!B137,0)</f>
        <v/>
      </c>
      <c r="C154" s="18">
        <f>IF(2=3,Assumptions!B137,0)</f>
        <v/>
      </c>
      <c r="D154" s="18">
        <f>IF(3=3,Assumptions!B137,0)</f>
        <v/>
      </c>
      <c r="E154" s="18">
        <f>IF(4=3,Assumptions!B137,0)</f>
        <v/>
      </c>
      <c r="F154" s="18">
        <f>IF(5=3,Assumptions!B137,0)</f>
        <v/>
      </c>
      <c r="G154" s="18">
        <f>IF(6=3,Assumptions!B137,0)</f>
        <v/>
      </c>
      <c r="H154" s="18">
        <f>IF(7=3,Assumptions!B137,0)</f>
        <v/>
      </c>
      <c r="I154" s="18">
        <f>IF(8=3,Assumptions!B137,0)</f>
        <v/>
      </c>
      <c r="J154" s="18">
        <f>IF(9=3,Assumptions!B137,0)</f>
        <v/>
      </c>
      <c r="K154" s="18">
        <f>IF(10=3,Assumptions!B137,0)</f>
        <v/>
      </c>
      <c r="L154" s="18">
        <f>IF(11=3,Assumptions!B137,0)</f>
        <v/>
      </c>
      <c r="M154" s="18">
        <f>IF(12=3,Assumptions!B137,0)</f>
        <v/>
      </c>
      <c r="N154" s="18">
        <f>IF(13=3,Assumptions!B137,0)</f>
        <v/>
      </c>
      <c r="O154" s="18">
        <f>IF(14=3,Assumptions!B137,0)</f>
        <v/>
      </c>
      <c r="P154" s="18">
        <f>IF(15=3,Assumptions!B137,0)</f>
        <v/>
      </c>
      <c r="Q154" s="18">
        <f>IF(16=3,Assumptions!B137,0)</f>
        <v/>
      </c>
      <c r="R154" s="18">
        <f>IF(17=3,Assumptions!B137,0)</f>
        <v/>
      </c>
      <c r="S154" s="18">
        <f>IF(18=3,Assumptions!B137,0)</f>
        <v/>
      </c>
      <c r="T154" s="18">
        <f>IF(19=3,Assumptions!B137,0)</f>
        <v/>
      </c>
      <c r="U154" s="18">
        <f>IF(20=3,Assumptions!B137,0)</f>
        <v/>
      </c>
      <c r="V154" s="18">
        <f>IF(21=3,Assumptions!B137,0)</f>
        <v/>
      </c>
      <c r="W154" s="18">
        <f>IF(22=3,Assumptions!B137,0)</f>
        <v/>
      </c>
      <c r="X154" s="18">
        <f>IF(23=3,Assumptions!B137,0)</f>
        <v/>
      </c>
      <c r="Y154" s="18">
        <f>IF(24=3,Assumptions!B137,0)</f>
        <v/>
      </c>
      <c r="Z154" s="18">
        <f>SUM(B154:Y154)</f>
        <v/>
      </c>
    </row>
    <row r="155">
      <c r="A155" s="17" t="inlineStr">
        <is>
          <t xml:space="preserve">  CTO Recruitment (Contingency) M14 (EX-10 — if network hire fails)</t>
        </is>
      </c>
      <c r="B155" s="18">
        <f>IF(1=14,Assumptions!B138,0)</f>
        <v/>
      </c>
      <c r="C155" s="18">
        <f>IF(2=14,Assumptions!B138,0)</f>
        <v/>
      </c>
      <c r="D155" s="18">
        <f>IF(3=14,Assumptions!B138,0)</f>
        <v/>
      </c>
      <c r="E155" s="18">
        <f>IF(4=14,Assumptions!B138,0)</f>
        <v/>
      </c>
      <c r="F155" s="18">
        <f>IF(5=14,Assumptions!B138,0)</f>
        <v/>
      </c>
      <c r="G155" s="18">
        <f>IF(6=14,Assumptions!B138,0)</f>
        <v/>
      </c>
      <c r="H155" s="18">
        <f>IF(7=14,Assumptions!B138,0)</f>
        <v/>
      </c>
      <c r="I155" s="18">
        <f>IF(8=14,Assumptions!B138,0)</f>
        <v/>
      </c>
      <c r="J155" s="18">
        <f>IF(9=14,Assumptions!B138,0)</f>
        <v/>
      </c>
      <c r="K155" s="18">
        <f>IF(10=14,Assumptions!B138,0)</f>
        <v/>
      </c>
      <c r="L155" s="18">
        <f>IF(11=14,Assumptions!B138,0)</f>
        <v/>
      </c>
      <c r="M155" s="18">
        <f>IF(12=14,Assumptions!B138,0)</f>
        <v/>
      </c>
      <c r="N155" s="18">
        <f>IF(13=14,Assumptions!B138,0)</f>
        <v/>
      </c>
      <c r="O155" s="18">
        <f>IF(14=14,Assumptions!B138,0)</f>
        <v/>
      </c>
      <c r="P155" s="18">
        <f>IF(15=14,Assumptions!B138,0)</f>
        <v/>
      </c>
      <c r="Q155" s="18">
        <f>IF(16=14,Assumptions!B138,0)</f>
        <v/>
      </c>
      <c r="R155" s="18">
        <f>IF(17=14,Assumptions!B138,0)</f>
        <v/>
      </c>
      <c r="S155" s="18">
        <f>IF(18=14,Assumptions!B138,0)</f>
        <v/>
      </c>
      <c r="T155" s="18">
        <f>IF(19=14,Assumptions!B138,0)</f>
        <v/>
      </c>
      <c r="U155" s="18">
        <f>IF(20=14,Assumptions!B138,0)</f>
        <v/>
      </c>
      <c r="V155" s="18">
        <f>IF(21=14,Assumptions!B138,0)</f>
        <v/>
      </c>
      <c r="W155" s="18">
        <f>IF(22=14,Assumptions!B138,0)</f>
        <v/>
      </c>
      <c r="X155" s="18">
        <f>IF(23=14,Assumptions!B138,0)</f>
        <v/>
      </c>
      <c r="Y155" s="18">
        <f>IF(24=14,Assumptions!B138,0)</f>
        <v/>
      </c>
      <c r="Z155" s="18">
        <f>SUM(B155:Y155)</f>
        <v/>
      </c>
    </row>
    <row r="156">
      <c r="A156" s="5" t="inlineStr">
        <is>
          <t xml:space="preserve">  Depreciation (linear / 36mo, incl. v4 CapEx)</t>
        </is>
      </c>
      <c r="B156" s="6">
        <f>ROUND((Assumptions!B102+Assumptions!B103+Assumptions!B104+Assumptions!B105+Assumptions!B106+Assumptions!B107+Assumptions!B108+Assumptions!B136)/Assumptions!B119,0)</f>
        <v/>
      </c>
      <c r="C156" s="6">
        <f>ROUND((Assumptions!B102+Assumptions!B103+Assumptions!B104+Assumptions!B105+Assumptions!B106+Assumptions!B107+Assumptions!B108+Assumptions!B136)/Assumptions!B119,0)</f>
        <v/>
      </c>
      <c r="D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E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F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G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H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I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J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K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L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M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N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O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P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Q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R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S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T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U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V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W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X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Y156" s="6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Z156" s="6">
        <f>SUM(B156:Y156)</f>
        <v/>
      </c>
    </row>
    <row r="157">
      <c r="A157" s="7" t="inlineStr">
        <is>
          <t xml:space="preserve">  = EBIT (EBITDA − D&amp;A)</t>
        </is>
      </c>
      <c r="B157" s="8">
        <f>B133-B156</f>
        <v/>
      </c>
      <c r="C157" s="8">
        <f>C133-C156</f>
        <v/>
      </c>
      <c r="D157" s="8">
        <f>D133-D156</f>
        <v/>
      </c>
      <c r="E157" s="8">
        <f>E133-E156</f>
        <v/>
      </c>
      <c r="F157" s="8">
        <f>F133-F156</f>
        <v/>
      </c>
      <c r="G157" s="8">
        <f>G133-G156</f>
        <v/>
      </c>
      <c r="H157" s="8">
        <f>H133-H156</f>
        <v/>
      </c>
      <c r="I157" s="8">
        <f>I133-I156</f>
        <v/>
      </c>
      <c r="J157" s="8">
        <f>J133-J156</f>
        <v/>
      </c>
      <c r="K157" s="8">
        <f>K133-K156</f>
        <v/>
      </c>
      <c r="L157" s="8">
        <f>L133-L156</f>
        <v/>
      </c>
      <c r="M157" s="8">
        <f>M133-M156</f>
        <v/>
      </c>
      <c r="N157" s="8">
        <f>N133-N156</f>
        <v/>
      </c>
      <c r="O157" s="8">
        <f>O133-O156</f>
        <v/>
      </c>
      <c r="P157" s="8">
        <f>P133-P156</f>
        <v/>
      </c>
      <c r="Q157" s="8">
        <f>Q133-Q156</f>
        <v/>
      </c>
      <c r="R157" s="8">
        <f>R133-R156</f>
        <v/>
      </c>
      <c r="S157" s="8">
        <f>S133-S156</f>
        <v/>
      </c>
      <c r="T157" s="8">
        <f>T133-T156</f>
        <v/>
      </c>
      <c r="U157" s="8">
        <f>U133-U156</f>
        <v/>
      </c>
      <c r="V157" s="8">
        <f>V133-V156</f>
        <v/>
      </c>
      <c r="W157" s="8">
        <f>W133-W156</f>
        <v/>
      </c>
      <c r="X157" s="8">
        <f>X133-X156</f>
        <v/>
      </c>
      <c r="Y157" s="8">
        <f>Y133-Y156</f>
        <v/>
      </c>
      <c r="Z157" s="8">
        <f>SUM(B157:Y157)</f>
        <v/>
      </c>
    </row>
    <row r="158">
      <c r="A158" s="5" t="inlineStr">
        <is>
          <t xml:space="preserve">    EBIT Margin %</t>
        </is>
      </c>
      <c r="B158" s="21">
        <f>IF(B47&gt;0,B157/B47,0)</f>
        <v/>
      </c>
      <c r="C158" s="21">
        <f>IF(C47&gt;0,C157/C47,0)</f>
        <v/>
      </c>
      <c r="D158" s="21">
        <f>IF(D47&gt;0,D157/D47,0)</f>
        <v/>
      </c>
      <c r="E158" s="21">
        <f>IF(E47&gt;0,E157/E47,0)</f>
        <v/>
      </c>
      <c r="F158" s="21">
        <f>IF(F47&gt;0,F157/F47,0)</f>
        <v/>
      </c>
      <c r="G158" s="21">
        <f>IF(G47&gt;0,G157/G47,0)</f>
        <v/>
      </c>
      <c r="H158" s="21">
        <f>IF(H47&gt;0,H157/H47,0)</f>
        <v/>
      </c>
      <c r="I158" s="21">
        <f>IF(I47&gt;0,I157/I47,0)</f>
        <v/>
      </c>
      <c r="J158" s="21">
        <f>IF(J47&gt;0,J157/J47,0)</f>
        <v/>
      </c>
      <c r="K158" s="21">
        <f>IF(K47&gt;0,K157/K47,0)</f>
        <v/>
      </c>
      <c r="L158" s="21">
        <f>IF(L47&gt;0,L157/L47,0)</f>
        <v/>
      </c>
      <c r="M158" s="21">
        <f>IF(M47&gt;0,M157/M47,0)</f>
        <v/>
      </c>
      <c r="N158" s="21">
        <f>IF(N47&gt;0,N157/N47,0)</f>
        <v/>
      </c>
      <c r="O158" s="21">
        <f>IF(O47&gt;0,O157/O47,0)</f>
        <v/>
      </c>
      <c r="P158" s="21">
        <f>IF(P47&gt;0,P157/P47,0)</f>
        <v/>
      </c>
      <c r="Q158" s="21">
        <f>IF(Q47&gt;0,Q157/Q47,0)</f>
        <v/>
      </c>
      <c r="R158" s="21">
        <f>IF(R47&gt;0,R157/R47,0)</f>
        <v/>
      </c>
      <c r="S158" s="21">
        <f>IF(S47&gt;0,S157/S47,0)</f>
        <v/>
      </c>
      <c r="T158" s="21">
        <f>IF(T47&gt;0,T157/T47,0)</f>
        <v/>
      </c>
      <c r="U158" s="21">
        <f>IF(U47&gt;0,U157/U47,0)</f>
        <v/>
      </c>
      <c r="V158" s="21">
        <f>IF(V47&gt;0,V157/V47,0)</f>
        <v/>
      </c>
      <c r="W158" s="21">
        <f>IF(W47&gt;0,W157/W47,0)</f>
        <v/>
      </c>
      <c r="X158" s="21">
        <f>IF(X47&gt;0,X157/X47,0)</f>
        <v/>
      </c>
      <c r="Y158" s="21">
        <f>IF(Y47&gt;0,Y157/Y47,0)</f>
        <v/>
      </c>
      <c r="Z158" s="21">
        <f>IF(Z47&gt;0,Z157/Z47,0)</f>
        <v/>
      </c>
    </row>
    <row r="160">
      <c r="A160" s="19" t="inlineStr">
        <is>
          <t>TOTAL CAPEX (cash)</t>
        </is>
      </c>
      <c r="B160" s="20">
        <f>B137+B138+B139+B140+B141+B142+B143+B144+B145+B146+B147+B148+B149+B150+B151+B152+B153+B154+B155</f>
        <v/>
      </c>
      <c r="C160" s="20">
        <f>C137+C138+C139+C140+C141+C142+C143+C144+C145+C146+C147+C148+C149+C150+C151+C152+C153+C154+C155</f>
        <v/>
      </c>
      <c r="D160" s="20">
        <f>D137+D138+D139+D140+D141+D142+D143+D144+D145+D146+D147+D148+D149+D150+D151+D152+D153+D154+D155</f>
        <v/>
      </c>
      <c r="E160" s="20">
        <f>E137+E138+E139+E140+E141+E142+E143+E144+E145+E146+E147+E148+E149+E150+E151+E152+E153+E154+E155</f>
        <v/>
      </c>
      <c r="F160" s="20">
        <f>F137+F138+F139+F140+F141+F142+F143+F144+F145+F146+F147+F148+F149+F150+F151+F152+F153+F154+F155</f>
        <v/>
      </c>
      <c r="G160" s="20">
        <f>G137+G138+G139+G140+G141+G142+G143+G144+G145+G146+G147+G148+G149+G150+G151+G152+G153+G154+G155</f>
        <v/>
      </c>
      <c r="H160" s="20">
        <f>H137+H138+H139+H140+H141+H142+H143+H144+H145+H146+H147+H148+H149+H150+H151+H152+H153+H154+H155</f>
        <v/>
      </c>
      <c r="I160" s="20">
        <f>I137+I138+I139+I140+I141+I142+I143+I144+I145+I146+I147+I148+I149+I150+I151+I152+I153+I154+I155</f>
        <v/>
      </c>
      <c r="J160" s="20">
        <f>J137+J138+J139+J140+J141+J142+J143+J144+J145+J146+J147+J148+J149+J150+J151+J152+J153+J154+J155</f>
        <v/>
      </c>
      <c r="K160" s="20">
        <f>K137+K138+K139+K140+K141+K142+K143+K144+K145+K146+K147+K148+K149+K150+K151+K152+K153+K154+K155</f>
        <v/>
      </c>
      <c r="L160" s="20">
        <f>L137+L138+L139+L140+L141+L142+L143+L144+L145+L146+L147+L148+L149+L150+L151+L152+L153+L154+L155</f>
        <v/>
      </c>
      <c r="M160" s="20">
        <f>M137+M138+M139+M140+M141+M142+M143+M144+M145+M146+M147+M148+M149+M150+M151+M152+M153+M154+M155</f>
        <v/>
      </c>
      <c r="N160" s="20">
        <f>N137+N138+N139+N140+N141+N142+N143+N144+N145+N146+N147+N148+N149+N150+N151+N152+N153+N154+N155</f>
        <v/>
      </c>
      <c r="O160" s="20">
        <f>O137+O138+O139+O140+O141+O142+O143+O144+O145+O146+O147+O148+O149+O150+O151+O152+O153+O154+O155</f>
        <v/>
      </c>
      <c r="P160" s="20">
        <f>P137+P138+P139+P140+P141+P142+P143+P144+P145+P146+P147+P148+P149+P150+P151+P152+P153+P154+P155</f>
        <v/>
      </c>
      <c r="Q160" s="20">
        <f>Q137+Q138+Q139+Q140+Q141+Q142+Q143+Q144+Q145+Q146+Q147+Q148+Q149+Q150+Q151+Q152+Q153+Q154+Q155</f>
        <v/>
      </c>
      <c r="R160" s="20">
        <f>R137+R138+R139+R140+R141+R142+R143+R144+R145+R146+R147+R148+R149+R150+R151+R152+R153+R154+R155</f>
        <v/>
      </c>
      <c r="S160" s="20">
        <f>S137+S138+S139+S140+S141+S142+S143+S144+S145+S146+S147+S148+S149+S150+S151+S152+S153+S154+S155</f>
        <v/>
      </c>
      <c r="T160" s="20">
        <f>T137+T138+T139+T140+T141+T142+T143+T144+T145+T146+T147+T148+T149+T150+T151+T152+T153+T154+T155</f>
        <v/>
      </c>
      <c r="U160" s="20">
        <f>U137+U138+U139+U140+U141+U142+U143+U144+U145+U146+U147+U148+U149+U150+U151+U152+U153+U154+U155</f>
        <v/>
      </c>
      <c r="V160" s="20">
        <f>V137+V138+V139+V140+V141+V142+V143+V144+V145+V146+V147+V148+V149+V150+V151+V152+V153+V154+V155</f>
        <v/>
      </c>
      <c r="W160" s="20">
        <f>W137+W138+W139+W140+W141+W142+W143+W144+W145+W146+W147+W148+W149+W150+W151+W152+W153+W154+W155</f>
        <v/>
      </c>
      <c r="X160" s="20">
        <f>X137+X138+X139+X140+X141+X142+X143+X144+X145+X146+X147+X148+X149+X150+X151+X152+X153+X154+X155</f>
        <v/>
      </c>
      <c r="Y160" s="20">
        <f>Y137+Y138+Y139+Y140+Y141+Y142+Y143+Y144+Y145+Y146+Y147+Y148+Y149+Y150+Y151+Y152+Y153+Y154+Y155</f>
        <v/>
      </c>
      <c r="Z160" s="20">
        <f>SUM(B160:Y160)</f>
        <v/>
      </c>
    </row>
    <row r="162">
      <c r="A162" s="19" t="inlineStr">
        <is>
          <t>NET P&amp;L (before tax)</t>
        </is>
      </c>
      <c r="B162" s="20">
        <f>B133-B160</f>
        <v/>
      </c>
      <c r="C162" s="20">
        <f>C133-C160</f>
        <v/>
      </c>
      <c r="D162" s="20">
        <f>D133-D160</f>
        <v/>
      </c>
      <c r="E162" s="20">
        <f>E133-E160</f>
        <v/>
      </c>
      <c r="F162" s="20">
        <f>F133-F160</f>
        <v/>
      </c>
      <c r="G162" s="20">
        <f>G133-G160</f>
        <v/>
      </c>
      <c r="H162" s="20">
        <f>H133-H160</f>
        <v/>
      </c>
      <c r="I162" s="20">
        <f>I133-I160</f>
        <v/>
      </c>
      <c r="J162" s="20">
        <f>J133-J160</f>
        <v/>
      </c>
      <c r="K162" s="20">
        <f>K133-K160</f>
        <v/>
      </c>
      <c r="L162" s="20">
        <f>L133-L160</f>
        <v/>
      </c>
      <c r="M162" s="20">
        <f>M133-M160</f>
        <v/>
      </c>
      <c r="N162" s="20">
        <f>N133-N160</f>
        <v/>
      </c>
      <c r="O162" s="20">
        <f>O133-O160</f>
        <v/>
      </c>
      <c r="P162" s="20">
        <f>P133-P160</f>
        <v/>
      </c>
      <c r="Q162" s="20">
        <f>Q133-Q160</f>
        <v/>
      </c>
      <c r="R162" s="20">
        <f>R133-R160</f>
        <v/>
      </c>
      <c r="S162" s="20">
        <f>S133-S160</f>
        <v/>
      </c>
      <c r="T162" s="20">
        <f>T133-T160</f>
        <v/>
      </c>
      <c r="U162" s="20">
        <f>U133-U160</f>
        <v/>
      </c>
      <c r="V162" s="20">
        <f>V133-V160</f>
        <v/>
      </c>
      <c r="W162" s="20">
        <f>W133-W160</f>
        <v/>
      </c>
      <c r="X162" s="20">
        <f>X133-X160</f>
        <v/>
      </c>
      <c r="Y162" s="20">
        <f>Y133-Y160</f>
        <v/>
      </c>
      <c r="Z162" s="20">
        <f>SUM(B162:Y162)</f>
        <v/>
      </c>
    </row>
    <row r="164">
      <c r="A164" s="4" t="inlineStr">
        <is>
          <t>TAX PROVISION (P2: ~30% when profitable)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5" t="inlineStr">
        <is>
          <t xml:space="preserve">  Cumulative Pre-Tax P&amp;L</t>
        </is>
      </c>
      <c r="B165" s="6">
        <f>B162</f>
        <v/>
      </c>
      <c r="C165" s="6">
        <f>B165+C162</f>
        <v/>
      </c>
      <c r="D165" s="6">
        <f>C165+D162</f>
        <v/>
      </c>
      <c r="E165" s="6">
        <f>D165+E162</f>
        <v/>
      </c>
      <c r="F165" s="6">
        <f>E165+F162</f>
        <v/>
      </c>
      <c r="G165" s="6">
        <f>F165+G162</f>
        <v/>
      </c>
      <c r="H165" s="6">
        <f>G165+H162</f>
        <v/>
      </c>
      <c r="I165" s="6">
        <f>H165+I162</f>
        <v/>
      </c>
      <c r="J165" s="6">
        <f>I165+J162</f>
        <v/>
      </c>
      <c r="K165" s="6">
        <f>J165+K162</f>
        <v/>
      </c>
      <c r="L165" s="6">
        <f>K165+L162</f>
        <v/>
      </c>
      <c r="M165" s="6">
        <f>L165+M162</f>
        <v/>
      </c>
      <c r="N165" s="6">
        <f>M165+N162</f>
        <v/>
      </c>
      <c r="O165" s="6">
        <f>N165+O162</f>
        <v/>
      </c>
      <c r="P165" s="6">
        <f>O165+P162</f>
        <v/>
      </c>
      <c r="Q165" s="6">
        <f>P165+Q162</f>
        <v/>
      </c>
      <c r="R165" s="6">
        <f>Q165+R162</f>
        <v/>
      </c>
      <c r="S165" s="6">
        <f>R165+S162</f>
        <v/>
      </c>
      <c r="T165" s="6">
        <f>S165+T162</f>
        <v/>
      </c>
      <c r="U165" s="6">
        <f>T165+U162</f>
        <v/>
      </c>
      <c r="V165" s="6">
        <f>U165+V162</f>
        <v/>
      </c>
      <c r="W165" s="6">
        <f>V165+W162</f>
        <v/>
      </c>
      <c r="X165" s="6">
        <f>W165+X162</f>
        <v/>
      </c>
      <c r="Y165" s="6">
        <f>X165+Y162</f>
        <v/>
      </c>
      <c r="Z165" s="24">
        <f>Y165</f>
        <v/>
      </c>
    </row>
    <row r="166">
      <c r="A166" s="17" t="inlineStr">
        <is>
          <t xml:space="preserve">  Tax Provision (~30%)</t>
        </is>
      </c>
      <c r="B166" s="18">
        <f>IF(AND(B162&gt;0,B165&gt;0),ROUND(B162*Assumptions!B99,0),0)</f>
        <v/>
      </c>
      <c r="C166" s="18">
        <f>IF(AND(C162&gt;0,C165&gt;0),ROUND(C162*Assumptions!B99,0),0)</f>
        <v/>
      </c>
      <c r="D166" s="18">
        <f>IF(AND(D162&gt;0,D165&gt;0),ROUND(D162*Assumptions!B99,0),0)</f>
        <v/>
      </c>
      <c r="E166" s="18">
        <f>IF(AND(E162&gt;0,E165&gt;0),ROUND(E162*Assumptions!B99,0),0)</f>
        <v/>
      </c>
      <c r="F166" s="18">
        <f>IF(AND(F162&gt;0,F165&gt;0),ROUND(F162*Assumptions!B99,0),0)</f>
        <v/>
      </c>
      <c r="G166" s="18">
        <f>IF(AND(G162&gt;0,G165&gt;0),ROUND(G162*Assumptions!B99,0),0)</f>
        <v/>
      </c>
      <c r="H166" s="18">
        <f>IF(AND(H162&gt;0,H165&gt;0),ROUND(H162*Assumptions!B99,0),0)</f>
        <v/>
      </c>
      <c r="I166" s="18">
        <f>IF(AND(I162&gt;0,I165&gt;0),ROUND(I162*Assumptions!B99,0),0)</f>
        <v/>
      </c>
      <c r="J166" s="18">
        <f>IF(AND(J162&gt;0,J165&gt;0),ROUND(J162*Assumptions!B99,0),0)</f>
        <v/>
      </c>
      <c r="K166" s="18">
        <f>IF(AND(K162&gt;0,K165&gt;0),ROUND(K162*Assumptions!B99,0),0)</f>
        <v/>
      </c>
      <c r="L166" s="18">
        <f>IF(AND(L162&gt;0,L165&gt;0),ROUND(L162*Assumptions!B99,0),0)</f>
        <v/>
      </c>
      <c r="M166" s="18">
        <f>IF(AND(M162&gt;0,M165&gt;0),ROUND(M162*Assumptions!B99,0),0)</f>
        <v/>
      </c>
      <c r="N166" s="18">
        <f>IF(AND(N162&gt;0,N165&gt;0),ROUND(N162*Assumptions!B99,0),0)</f>
        <v/>
      </c>
      <c r="O166" s="18">
        <f>IF(AND(O162&gt;0,O165&gt;0),ROUND(O162*Assumptions!B99,0),0)</f>
        <v/>
      </c>
      <c r="P166" s="18">
        <f>IF(AND(P162&gt;0,P165&gt;0),ROUND(P162*Assumptions!B99,0),0)</f>
        <v/>
      </c>
      <c r="Q166" s="18">
        <f>IF(AND(Q162&gt;0,Q165&gt;0),ROUND(Q162*Assumptions!B99,0),0)</f>
        <v/>
      </c>
      <c r="R166" s="18">
        <f>IF(AND(R162&gt;0,R165&gt;0),ROUND(R162*Assumptions!B99,0),0)</f>
        <v/>
      </c>
      <c r="S166" s="18">
        <f>IF(AND(S162&gt;0,S165&gt;0),ROUND(S162*Assumptions!B99,0),0)</f>
        <v/>
      </c>
      <c r="T166" s="18">
        <f>IF(AND(T162&gt;0,T165&gt;0),ROUND(T162*Assumptions!B99,0),0)</f>
        <v/>
      </c>
      <c r="U166" s="18">
        <f>IF(AND(U162&gt;0,U165&gt;0),ROUND(U162*Assumptions!B99,0),0)</f>
        <v/>
      </c>
      <c r="V166" s="18">
        <f>IF(AND(V162&gt;0,V165&gt;0),ROUND(V162*Assumptions!B99,0),0)</f>
        <v/>
      </c>
      <c r="W166" s="18">
        <f>IF(AND(W162&gt;0,W165&gt;0),ROUND(W162*Assumptions!B99,0),0)</f>
        <v/>
      </c>
      <c r="X166" s="18">
        <f>IF(AND(X162&gt;0,X165&gt;0),ROUND(X162*Assumptions!B99,0),0)</f>
        <v/>
      </c>
      <c r="Y166" s="18">
        <f>IF(AND(Y162&gt;0,Y165&gt;0),ROUND(Y162*Assumptions!B99,0),0)</f>
        <v/>
      </c>
      <c r="Z166" s="18">
        <f>SUM(B166:Y166)</f>
        <v/>
      </c>
    </row>
    <row r="168">
      <c r="A168" s="19" t="inlineStr">
        <is>
          <t>NET P&amp;L (after tax)</t>
        </is>
      </c>
      <c r="B168" s="20">
        <f>B162-B166</f>
        <v/>
      </c>
      <c r="C168" s="20">
        <f>C162-C166</f>
        <v/>
      </c>
      <c r="D168" s="20">
        <f>D162-D166</f>
        <v/>
      </c>
      <c r="E168" s="20">
        <f>E162-E166</f>
        <v/>
      </c>
      <c r="F168" s="20">
        <f>F162-F166</f>
        <v/>
      </c>
      <c r="G168" s="20">
        <f>G162-G166</f>
        <v/>
      </c>
      <c r="H168" s="20">
        <f>H162-H166</f>
        <v/>
      </c>
      <c r="I168" s="20">
        <f>I162-I166</f>
        <v/>
      </c>
      <c r="J168" s="20">
        <f>J162-J166</f>
        <v/>
      </c>
      <c r="K168" s="20">
        <f>K162-K166</f>
        <v/>
      </c>
      <c r="L168" s="20">
        <f>L162-L166</f>
        <v/>
      </c>
      <c r="M168" s="20">
        <f>M162-M166</f>
        <v/>
      </c>
      <c r="N168" s="20">
        <f>N162-N166</f>
        <v/>
      </c>
      <c r="O168" s="20">
        <f>O162-O166</f>
        <v/>
      </c>
      <c r="P168" s="20">
        <f>P162-P166</f>
        <v/>
      </c>
      <c r="Q168" s="20">
        <f>Q162-Q166</f>
        <v/>
      </c>
      <c r="R168" s="20">
        <f>R162-R166</f>
        <v/>
      </c>
      <c r="S168" s="20">
        <f>S162-S166</f>
        <v/>
      </c>
      <c r="T168" s="20">
        <f>T162-T166</f>
        <v/>
      </c>
      <c r="U168" s="20">
        <f>U162-U166</f>
        <v/>
      </c>
      <c r="V168" s="20">
        <f>V162-V166</f>
        <v/>
      </c>
      <c r="W168" s="20">
        <f>W162-W166</f>
        <v/>
      </c>
      <c r="X168" s="20">
        <f>X162-X166</f>
        <v/>
      </c>
      <c r="Y168" s="20">
        <f>Y162-Y166</f>
        <v/>
      </c>
      <c r="Z168" s="20">
        <f>SUM(B168:Y168)</f>
        <v/>
      </c>
    </row>
    <row r="169">
      <c r="A169" s="7" t="inlineStr">
        <is>
          <t>Cumulative Cash (Pre-Seed Start)</t>
        </is>
      </c>
      <c r="B169" s="8">
        <f>Assumptions!B142+B168</f>
        <v/>
      </c>
      <c r="C169" s="8">
        <f>B169+C168</f>
        <v/>
      </c>
      <c r="D169" s="8">
        <f>C169+D168</f>
        <v/>
      </c>
      <c r="E169" s="8">
        <f>D169+E168</f>
        <v/>
      </c>
      <c r="F169" s="8">
        <f>E169+F168</f>
        <v/>
      </c>
      <c r="G169" s="8">
        <f>F169+G168</f>
        <v/>
      </c>
      <c r="H169" s="8">
        <f>G169+H168</f>
        <v/>
      </c>
      <c r="I169" s="8">
        <f>H169+I168</f>
        <v/>
      </c>
      <c r="J169" s="8">
        <f>I169+J168</f>
        <v/>
      </c>
      <c r="K169" s="8">
        <f>J169+K168</f>
        <v/>
      </c>
      <c r="L169" s="8">
        <f>K169+L168</f>
        <v/>
      </c>
      <c r="M169" s="8">
        <f>L169+M168</f>
        <v/>
      </c>
      <c r="N169" s="8">
        <f>M169+N168</f>
        <v/>
      </c>
      <c r="O169" s="8">
        <f>N169+O168</f>
        <v/>
      </c>
      <c r="P169" s="8">
        <f>O169+P168</f>
        <v/>
      </c>
      <c r="Q169" s="8">
        <f>P169+Q168</f>
        <v/>
      </c>
      <c r="R169" s="8">
        <f>Q169+R168</f>
        <v/>
      </c>
      <c r="S169" s="8">
        <f>R169+S168</f>
        <v/>
      </c>
      <c r="T169" s="8">
        <f>S169+T168</f>
        <v/>
      </c>
      <c r="U169" s="8">
        <f>T169+U168</f>
        <v/>
      </c>
      <c r="V169" s="8">
        <f>U169+V168</f>
        <v/>
      </c>
      <c r="W169" s="8">
        <f>V169+W168</f>
        <v/>
      </c>
      <c r="X169" s="8">
        <f>W169+X168</f>
        <v/>
      </c>
      <c r="Y169" s="8">
        <f>X169+Y168</f>
        <v/>
      </c>
      <c r="Z169" s="25">
        <f>Y169</f>
        <v/>
      </c>
    </row>
    <row r="171">
      <c r="A171" s="4" t="inlineStr">
        <is>
          <t>KEY METRICS</t>
        </is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5" t="inlineStr">
        <is>
          <t xml:space="preserve">  Monthly Burn (if loss)</t>
        </is>
      </c>
      <c r="B172" s="6">
        <f>IF(B168&lt;0,ABS(B168),0)</f>
        <v/>
      </c>
      <c r="C172" s="6">
        <f>IF(C168&lt;0,ABS(C168),0)</f>
        <v/>
      </c>
      <c r="D172" s="6">
        <f>IF(D168&lt;0,ABS(D168),0)</f>
        <v/>
      </c>
      <c r="E172" s="6">
        <f>IF(E168&lt;0,ABS(E168),0)</f>
        <v/>
      </c>
      <c r="F172" s="6">
        <f>IF(F168&lt;0,ABS(F168),0)</f>
        <v/>
      </c>
      <c r="G172" s="6">
        <f>IF(G168&lt;0,ABS(G168),0)</f>
        <v/>
      </c>
      <c r="H172" s="6">
        <f>IF(H168&lt;0,ABS(H168),0)</f>
        <v/>
      </c>
      <c r="I172" s="6">
        <f>IF(I168&lt;0,ABS(I168),0)</f>
        <v/>
      </c>
      <c r="J172" s="6">
        <f>IF(J168&lt;0,ABS(J168),0)</f>
        <v/>
      </c>
      <c r="K172" s="6">
        <f>IF(K168&lt;0,ABS(K168),0)</f>
        <v/>
      </c>
      <c r="L172" s="6">
        <f>IF(L168&lt;0,ABS(L168),0)</f>
        <v/>
      </c>
      <c r="M172" s="6">
        <f>IF(M168&lt;0,ABS(M168),0)</f>
        <v/>
      </c>
      <c r="N172" s="6">
        <f>IF(N168&lt;0,ABS(N168),0)</f>
        <v/>
      </c>
      <c r="O172" s="6">
        <f>IF(O168&lt;0,ABS(O168),0)</f>
        <v/>
      </c>
      <c r="P172" s="6">
        <f>IF(P168&lt;0,ABS(P168),0)</f>
        <v/>
      </c>
      <c r="Q172" s="6">
        <f>IF(Q168&lt;0,ABS(Q168),0)</f>
        <v/>
      </c>
      <c r="R172" s="6">
        <f>IF(R168&lt;0,ABS(R168),0)</f>
        <v/>
      </c>
      <c r="S172" s="6">
        <f>IF(S168&lt;0,ABS(S168),0)</f>
        <v/>
      </c>
      <c r="T172" s="6">
        <f>IF(T168&lt;0,ABS(T168),0)</f>
        <v/>
      </c>
      <c r="U172" s="6">
        <f>IF(U168&lt;0,ABS(U168),0)</f>
        <v/>
      </c>
      <c r="V172" s="6">
        <f>IF(V168&lt;0,ABS(V168),0)</f>
        <v/>
      </c>
      <c r="W172" s="6">
        <f>IF(W168&lt;0,ABS(W168),0)</f>
        <v/>
      </c>
      <c r="X172" s="6">
        <f>IF(X168&lt;0,ABS(X168),0)</f>
        <v/>
      </c>
      <c r="Y172" s="6">
        <f>IF(Y168&lt;0,ABS(Y168),0)</f>
        <v/>
      </c>
      <c r="Z172" s="6">
        <f>SUM(B172:Y172)</f>
        <v/>
      </c>
    </row>
    <row r="173">
      <c r="A173" s="5" t="inlineStr">
        <is>
          <t xml:space="preserve">  Revenue / Subscriber (Total ARPU)</t>
        </is>
      </c>
      <c r="B173" s="26">
        <f>IF('Growth Curves'!B17&gt;0,ROUND(B47/'Growth Curves'!B17,2),0)</f>
        <v/>
      </c>
      <c r="C173" s="26">
        <f>IF('Growth Curves'!C17&gt;0,ROUND(C47/'Growth Curves'!C17,2),0)</f>
        <v/>
      </c>
      <c r="D173" s="26">
        <f>IF('Growth Curves'!D17&gt;0,ROUND(D47/'Growth Curves'!D17,2),0)</f>
        <v/>
      </c>
      <c r="E173" s="26">
        <f>IF('Growth Curves'!E17&gt;0,ROUND(E47/'Growth Curves'!E17,2),0)</f>
        <v/>
      </c>
      <c r="F173" s="26">
        <f>IF('Growth Curves'!F17&gt;0,ROUND(F47/'Growth Curves'!F17,2),0)</f>
        <v/>
      </c>
      <c r="G173" s="26">
        <f>IF('Growth Curves'!G17&gt;0,ROUND(G47/'Growth Curves'!G17,2),0)</f>
        <v/>
      </c>
      <c r="H173" s="26">
        <f>IF('Growth Curves'!H17&gt;0,ROUND(H47/'Growth Curves'!H17,2),0)</f>
        <v/>
      </c>
      <c r="I173" s="26">
        <f>IF('Growth Curves'!I17&gt;0,ROUND(I47/'Growth Curves'!I17,2),0)</f>
        <v/>
      </c>
      <c r="J173" s="26">
        <f>IF('Growth Curves'!J17&gt;0,ROUND(J47/'Growth Curves'!J17,2),0)</f>
        <v/>
      </c>
      <c r="K173" s="26">
        <f>IF('Growth Curves'!K17&gt;0,ROUND(K47/'Growth Curves'!K17,2),0)</f>
        <v/>
      </c>
      <c r="L173" s="26">
        <f>IF('Growth Curves'!L17&gt;0,ROUND(L47/'Growth Curves'!L17,2),0)</f>
        <v/>
      </c>
      <c r="M173" s="26">
        <f>IF('Growth Curves'!M17&gt;0,ROUND(M47/'Growth Curves'!M17,2),0)</f>
        <v/>
      </c>
      <c r="N173" s="26">
        <f>IF('Growth Curves'!N17&gt;0,ROUND(N47/'Growth Curves'!N17,2),0)</f>
        <v/>
      </c>
      <c r="O173" s="26">
        <f>IF('Growth Curves'!O17&gt;0,ROUND(O47/'Growth Curves'!O17,2),0)</f>
        <v/>
      </c>
      <c r="P173" s="26">
        <f>IF('Growth Curves'!P17&gt;0,ROUND(P47/'Growth Curves'!P17,2),0)</f>
        <v/>
      </c>
      <c r="Q173" s="26">
        <f>IF('Growth Curves'!Q17&gt;0,ROUND(Q47/'Growth Curves'!Q17,2),0)</f>
        <v/>
      </c>
      <c r="R173" s="26">
        <f>IF('Growth Curves'!R17&gt;0,ROUND(R47/'Growth Curves'!R17,2),0)</f>
        <v/>
      </c>
      <c r="S173" s="26">
        <f>IF('Growth Curves'!S17&gt;0,ROUND(S47/'Growth Curves'!S17,2),0)</f>
        <v/>
      </c>
      <c r="T173" s="26">
        <f>IF('Growth Curves'!T17&gt;0,ROUND(T47/'Growth Curves'!T17,2),0)</f>
        <v/>
      </c>
      <c r="U173" s="26">
        <f>IF('Growth Curves'!U17&gt;0,ROUND(U47/'Growth Curves'!U17,2),0)</f>
        <v/>
      </c>
      <c r="V173" s="26">
        <f>IF('Growth Curves'!V17&gt;0,ROUND(V47/'Growth Curves'!V17,2),0)</f>
        <v/>
      </c>
      <c r="W173" s="26">
        <f>IF('Growth Curves'!W17&gt;0,ROUND(W47/'Growth Curves'!W17,2),0)</f>
        <v/>
      </c>
      <c r="X173" s="26">
        <f>IF('Growth Curves'!X17&gt;0,ROUND(X47/'Growth Curves'!X17,2),0)</f>
        <v/>
      </c>
      <c r="Y173" s="26">
        <f>IF('Growth Curves'!Y17&gt;0,ROUND(Y47/'Growth Curves'!Y17,2),0)</f>
        <v/>
      </c>
      <c r="Z173" s="26">
        <f>SUM(B173:Y173)</f>
        <v/>
      </c>
    </row>
    <row r="174">
      <c r="A174" s="5" t="inlineStr">
        <is>
          <t xml:space="preserve">  Subscription ARPU (P5: actual)</t>
        </is>
      </c>
      <c r="B174" s="26">
        <f>IF('Growth Curves'!B17&gt;0,ROUND(B42/'Growth Curves'!B17,2),0)</f>
        <v/>
      </c>
      <c r="C174" s="26">
        <f>IF('Growth Curves'!C17&gt;0,ROUND(C42/'Growth Curves'!C17,2),0)</f>
        <v/>
      </c>
      <c r="D174" s="26">
        <f>IF('Growth Curves'!D17&gt;0,ROUND(D42/'Growth Curves'!D17,2),0)</f>
        <v/>
      </c>
      <c r="E174" s="26">
        <f>IF('Growth Curves'!E17&gt;0,ROUND(E42/'Growth Curves'!E17,2),0)</f>
        <v/>
      </c>
      <c r="F174" s="26">
        <f>IF('Growth Curves'!F17&gt;0,ROUND(F42/'Growth Curves'!F17,2),0)</f>
        <v/>
      </c>
      <c r="G174" s="26">
        <f>IF('Growth Curves'!G17&gt;0,ROUND(G42/'Growth Curves'!G17,2),0)</f>
        <v/>
      </c>
      <c r="H174" s="26">
        <f>IF('Growth Curves'!H17&gt;0,ROUND(H42/'Growth Curves'!H17,2),0)</f>
        <v/>
      </c>
      <c r="I174" s="26">
        <f>IF('Growth Curves'!I17&gt;0,ROUND(I42/'Growth Curves'!I17,2),0)</f>
        <v/>
      </c>
      <c r="J174" s="26">
        <f>IF('Growth Curves'!J17&gt;0,ROUND(J42/'Growth Curves'!J17,2),0)</f>
        <v/>
      </c>
      <c r="K174" s="26">
        <f>IF('Growth Curves'!K17&gt;0,ROUND(K42/'Growth Curves'!K17,2),0)</f>
        <v/>
      </c>
      <c r="L174" s="26">
        <f>IF('Growth Curves'!L17&gt;0,ROUND(L42/'Growth Curves'!L17,2),0)</f>
        <v/>
      </c>
      <c r="M174" s="26">
        <f>IF('Growth Curves'!M17&gt;0,ROUND(M42/'Growth Curves'!M17,2),0)</f>
        <v/>
      </c>
      <c r="N174" s="26">
        <f>IF('Growth Curves'!N17&gt;0,ROUND(N42/'Growth Curves'!N17,2),0)</f>
        <v/>
      </c>
      <c r="O174" s="26">
        <f>IF('Growth Curves'!O17&gt;0,ROUND(O42/'Growth Curves'!O17,2),0)</f>
        <v/>
      </c>
      <c r="P174" s="26">
        <f>IF('Growth Curves'!P17&gt;0,ROUND(P42/'Growth Curves'!P17,2),0)</f>
        <v/>
      </c>
      <c r="Q174" s="26">
        <f>IF('Growth Curves'!Q17&gt;0,ROUND(Q42/'Growth Curves'!Q17,2),0)</f>
        <v/>
      </c>
      <c r="R174" s="26">
        <f>IF('Growth Curves'!R17&gt;0,ROUND(R42/'Growth Curves'!R17,2),0)</f>
        <v/>
      </c>
      <c r="S174" s="26">
        <f>IF('Growth Curves'!S17&gt;0,ROUND(S42/'Growth Curves'!S17,2),0)</f>
        <v/>
      </c>
      <c r="T174" s="26">
        <f>IF('Growth Curves'!T17&gt;0,ROUND(T42/'Growth Curves'!T17,2),0)</f>
        <v/>
      </c>
      <c r="U174" s="26">
        <f>IF('Growth Curves'!U17&gt;0,ROUND(U42/'Growth Curves'!U17,2),0)</f>
        <v/>
      </c>
      <c r="V174" s="26">
        <f>IF('Growth Curves'!V17&gt;0,ROUND(V42/'Growth Curves'!V17,2),0)</f>
        <v/>
      </c>
      <c r="W174" s="26">
        <f>IF('Growth Curves'!W17&gt;0,ROUND(W42/'Growth Curves'!W17,2),0)</f>
        <v/>
      </c>
      <c r="X174" s="26">
        <f>IF('Growth Curves'!X17&gt;0,ROUND(X42/'Growth Curves'!X17,2),0)</f>
        <v/>
      </c>
      <c r="Y174" s="26">
        <f>IF('Growth Curves'!Y17&gt;0,ROUND(Y42/'Growth Curves'!Y17,2),0)</f>
        <v/>
      </c>
      <c r="Z174" s="26">
        <f>SUM(B174:Y174)</f>
        <v/>
      </c>
    </row>
    <row r="175">
      <c r="A175" s="5" t="inlineStr">
        <is>
          <t xml:space="preserve">  Subscription MRR</t>
        </is>
      </c>
      <c r="B175" s="6">
        <f>B42</f>
        <v/>
      </c>
      <c r="C175" s="6">
        <f>C42</f>
        <v/>
      </c>
      <c r="D175" s="6">
        <f>D42</f>
        <v/>
      </c>
      <c r="E175" s="6">
        <f>E42</f>
        <v/>
      </c>
      <c r="F175" s="6">
        <f>F42</f>
        <v/>
      </c>
      <c r="G175" s="6">
        <f>G42</f>
        <v/>
      </c>
      <c r="H175" s="6">
        <f>H42</f>
        <v/>
      </c>
      <c r="I175" s="6">
        <f>I42</f>
        <v/>
      </c>
      <c r="J175" s="6">
        <f>J42</f>
        <v/>
      </c>
      <c r="K175" s="6">
        <f>K42</f>
        <v/>
      </c>
      <c r="L175" s="6">
        <f>L42</f>
        <v/>
      </c>
      <c r="M175" s="6">
        <f>M42</f>
        <v/>
      </c>
      <c r="N175" s="6">
        <f>N42</f>
        <v/>
      </c>
      <c r="O175" s="6">
        <f>O42</f>
        <v/>
      </c>
      <c r="P175" s="6">
        <f>P42</f>
        <v/>
      </c>
      <c r="Q175" s="6">
        <f>Q42</f>
        <v/>
      </c>
      <c r="R175" s="6">
        <f>R42</f>
        <v/>
      </c>
      <c r="S175" s="6">
        <f>S42</f>
        <v/>
      </c>
      <c r="T175" s="6">
        <f>T42</f>
        <v/>
      </c>
      <c r="U175" s="6">
        <f>U42</f>
        <v/>
      </c>
      <c r="V175" s="6">
        <f>V42</f>
        <v/>
      </c>
      <c r="W175" s="6">
        <f>W42</f>
        <v/>
      </c>
      <c r="X175" s="6">
        <f>X42</f>
        <v/>
      </c>
      <c r="Y175" s="6">
        <f>Y42</f>
        <v/>
      </c>
      <c r="Z175" s="6">
        <f>SUM(B175:Y175)</f>
        <v/>
      </c>
    </row>
    <row r="176">
      <c r="A176" s="5" t="inlineStr">
        <is>
          <t xml:space="preserve">  Subscription % of Total Revenue</t>
        </is>
      </c>
      <c r="B176" s="21">
        <f>IF(B47&gt;0,B42/B47,0)</f>
        <v/>
      </c>
      <c r="C176" s="21">
        <f>IF(C47&gt;0,C42/C47,0)</f>
        <v/>
      </c>
      <c r="D176" s="21">
        <f>IF(D47&gt;0,D42/D47,0)</f>
        <v/>
      </c>
      <c r="E176" s="21">
        <f>IF(E47&gt;0,E42/E47,0)</f>
        <v/>
      </c>
      <c r="F176" s="21">
        <f>IF(F47&gt;0,F42/F47,0)</f>
        <v/>
      </c>
      <c r="G176" s="21">
        <f>IF(G47&gt;0,G42/G47,0)</f>
        <v/>
      </c>
      <c r="H176" s="21">
        <f>IF(H47&gt;0,H42/H47,0)</f>
        <v/>
      </c>
      <c r="I176" s="21">
        <f>IF(I47&gt;0,I42/I47,0)</f>
        <v/>
      </c>
      <c r="J176" s="21">
        <f>IF(J47&gt;0,J42/J47,0)</f>
        <v/>
      </c>
      <c r="K176" s="21">
        <f>IF(K47&gt;0,K42/K47,0)</f>
        <v/>
      </c>
      <c r="L176" s="21">
        <f>IF(L47&gt;0,L42/L47,0)</f>
        <v/>
      </c>
      <c r="M176" s="21">
        <f>IF(M47&gt;0,M42/M47,0)</f>
        <v/>
      </c>
      <c r="N176" s="21">
        <f>IF(N47&gt;0,N42/N47,0)</f>
        <v/>
      </c>
      <c r="O176" s="21">
        <f>IF(O47&gt;0,O42/O47,0)</f>
        <v/>
      </c>
      <c r="P176" s="21">
        <f>IF(P47&gt;0,P42/P47,0)</f>
        <v/>
      </c>
      <c r="Q176" s="21">
        <f>IF(Q47&gt;0,Q42/Q47,0)</f>
        <v/>
      </c>
      <c r="R176" s="21">
        <f>IF(R47&gt;0,R42/R47,0)</f>
        <v/>
      </c>
      <c r="S176" s="21">
        <f>IF(S47&gt;0,S42/S47,0)</f>
        <v/>
      </c>
      <c r="T176" s="21">
        <f>IF(T47&gt;0,T42/T47,0)</f>
        <v/>
      </c>
      <c r="U176" s="21">
        <f>IF(U47&gt;0,U42/U47,0)</f>
        <v/>
      </c>
      <c r="V176" s="21">
        <f>IF(V47&gt;0,V42/V47,0)</f>
        <v/>
      </c>
      <c r="W176" s="21">
        <f>IF(W47&gt;0,W42/W47,0)</f>
        <v/>
      </c>
      <c r="X176" s="21">
        <f>IF(X47&gt;0,X42/X47,0)</f>
        <v/>
      </c>
      <c r="Y176" s="21">
        <f>IF(Y47&gt;0,Y42/Y47,0)</f>
        <v/>
      </c>
      <c r="Z176" s="21">
        <f>IF(Z47&gt;0,Z42/Z47,0)</f>
        <v/>
      </c>
    </row>
    <row r="177">
      <c r="A177" s="5" t="inlineStr">
        <is>
          <t xml:space="preserve">  Gross Margin %</t>
        </is>
      </c>
      <c r="B177" s="21">
        <f>B67</f>
        <v/>
      </c>
      <c r="C177" s="21">
        <f>C67</f>
        <v/>
      </c>
      <c r="D177" s="21">
        <f>D67</f>
        <v/>
      </c>
      <c r="E177" s="21">
        <f>E67</f>
        <v/>
      </c>
      <c r="F177" s="21">
        <f>F67</f>
        <v/>
      </c>
      <c r="G177" s="21">
        <f>G67</f>
        <v/>
      </c>
      <c r="H177" s="21">
        <f>H67</f>
        <v/>
      </c>
      <c r="I177" s="21">
        <f>I67</f>
        <v/>
      </c>
      <c r="J177" s="21">
        <f>J67</f>
        <v/>
      </c>
      <c r="K177" s="21">
        <f>K67</f>
        <v/>
      </c>
      <c r="L177" s="21">
        <f>L67</f>
        <v/>
      </c>
      <c r="M177" s="21">
        <f>M67</f>
        <v/>
      </c>
      <c r="N177" s="21">
        <f>N67</f>
        <v/>
      </c>
      <c r="O177" s="21">
        <f>O67</f>
        <v/>
      </c>
      <c r="P177" s="21">
        <f>P67</f>
        <v/>
      </c>
      <c r="Q177" s="21">
        <f>Q67</f>
        <v/>
      </c>
      <c r="R177" s="21">
        <f>R67</f>
        <v/>
      </c>
      <c r="S177" s="21">
        <f>S67</f>
        <v/>
      </c>
      <c r="T177" s="21">
        <f>T67</f>
        <v/>
      </c>
      <c r="U177" s="21">
        <f>U67</f>
        <v/>
      </c>
      <c r="V177" s="21">
        <f>V67</f>
        <v/>
      </c>
      <c r="W177" s="21">
        <f>W67</f>
        <v/>
      </c>
      <c r="X177" s="21">
        <f>X67</f>
        <v/>
      </c>
      <c r="Y177" s="21">
        <f>Y67</f>
        <v/>
      </c>
      <c r="Z177" s="21">
        <f>Z67</f>
        <v/>
      </c>
    </row>
    <row r="178">
      <c r="A178" s="5" t="inlineStr">
        <is>
          <t xml:space="preserve">  Months of Runway Remaining</t>
        </is>
      </c>
      <c r="B178" s="27">
        <f>IF(B172&gt;0,ROUND(B169/B172,1),99)</f>
        <v/>
      </c>
      <c r="C178" s="27">
        <f>IF(C172&gt;0,ROUND(C169/C172,1),99)</f>
        <v/>
      </c>
      <c r="D178" s="27">
        <f>IF(D172&gt;0,ROUND(D169/D172,1),99)</f>
        <v/>
      </c>
      <c r="E178" s="27">
        <f>IF(E172&gt;0,ROUND(E169/E172,1),99)</f>
        <v/>
      </c>
      <c r="F178" s="27">
        <f>IF(F172&gt;0,ROUND(F169/F172,1),99)</f>
        <v/>
      </c>
      <c r="G178" s="27">
        <f>IF(G172&gt;0,ROUND(G169/G172,1),99)</f>
        <v/>
      </c>
      <c r="H178" s="27">
        <f>IF(H172&gt;0,ROUND(H169/H172,1),99)</f>
        <v/>
      </c>
      <c r="I178" s="27">
        <f>IF(I172&gt;0,ROUND(I169/I172,1),99)</f>
        <v/>
      </c>
      <c r="J178" s="27">
        <f>IF(J172&gt;0,ROUND(J169/J172,1),99)</f>
        <v/>
      </c>
      <c r="K178" s="27">
        <f>IF(K172&gt;0,ROUND(K169/K172,1),99)</f>
        <v/>
      </c>
      <c r="L178" s="27">
        <f>IF(L172&gt;0,ROUND(L169/L172,1),99)</f>
        <v/>
      </c>
      <c r="M178" s="27">
        <f>IF(M172&gt;0,ROUND(M169/M172,1),99)</f>
        <v/>
      </c>
      <c r="N178" s="27">
        <f>IF(N172&gt;0,ROUND(N169/N172,1),99)</f>
        <v/>
      </c>
      <c r="O178" s="27">
        <f>IF(O172&gt;0,ROUND(O169/O172,1),99)</f>
        <v/>
      </c>
      <c r="P178" s="27">
        <f>IF(P172&gt;0,ROUND(P169/P172,1),99)</f>
        <v/>
      </c>
      <c r="Q178" s="27">
        <f>IF(Q172&gt;0,ROUND(Q169/Q172,1),99)</f>
        <v/>
      </c>
      <c r="R178" s="27">
        <f>IF(R172&gt;0,ROUND(R169/R172,1),99)</f>
        <v/>
      </c>
      <c r="S178" s="27">
        <f>IF(S172&gt;0,ROUND(S169/S172,1),99)</f>
        <v/>
      </c>
      <c r="T178" s="27">
        <f>IF(T172&gt;0,ROUND(T169/T172,1),99)</f>
        <v/>
      </c>
      <c r="U178" s="27">
        <f>IF(U172&gt;0,ROUND(U169/U172,1),99)</f>
        <v/>
      </c>
      <c r="V178" s="27">
        <f>IF(V172&gt;0,ROUND(V169/V172,1),99)</f>
        <v/>
      </c>
      <c r="W178" s="27">
        <f>IF(W172&gt;0,ROUND(W169/W172,1),99)</f>
        <v/>
      </c>
      <c r="X178" s="27">
        <f>IF(X172&gt;0,ROUND(X169/X172,1),99)</f>
        <v/>
      </c>
      <c r="Y178" s="27">
        <f>IF(Y172&gt;0,ROUND(Y169/Y172,1),99)</f>
        <v/>
      </c>
      <c r="Z178" s="27">
        <f>SUM(B178:Y178)</f>
        <v/>
      </c>
    </row>
    <row r="180">
      <c r="A180" s="4" t="inlineStr">
        <is>
          <t>BREAK-EVEN INDICATORS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5" t="inlineStr">
        <is>
          <t xml:space="preserve">  EBITDA Positive? (1=Yes)</t>
        </is>
      </c>
      <c r="B181" s="6">
        <f>IF(B133&gt;0,1,0)</f>
        <v/>
      </c>
      <c r="C181" s="6">
        <f>IF(C133&gt;0,1,0)</f>
        <v/>
      </c>
      <c r="D181" s="6">
        <f>IF(D133&gt;0,1,0)</f>
        <v/>
      </c>
      <c r="E181" s="6">
        <f>IF(E133&gt;0,1,0)</f>
        <v/>
      </c>
      <c r="F181" s="6">
        <f>IF(F133&gt;0,1,0)</f>
        <v/>
      </c>
      <c r="G181" s="6">
        <f>IF(G133&gt;0,1,0)</f>
        <v/>
      </c>
      <c r="H181" s="6">
        <f>IF(H133&gt;0,1,0)</f>
        <v/>
      </c>
      <c r="I181" s="6">
        <f>IF(I133&gt;0,1,0)</f>
        <v/>
      </c>
      <c r="J181" s="6">
        <f>IF(J133&gt;0,1,0)</f>
        <v/>
      </c>
      <c r="K181" s="6">
        <f>IF(K133&gt;0,1,0)</f>
        <v/>
      </c>
      <c r="L181" s="6">
        <f>IF(L133&gt;0,1,0)</f>
        <v/>
      </c>
      <c r="M181" s="6">
        <f>IF(M133&gt;0,1,0)</f>
        <v/>
      </c>
      <c r="N181" s="6">
        <f>IF(N133&gt;0,1,0)</f>
        <v/>
      </c>
      <c r="O181" s="6">
        <f>IF(O133&gt;0,1,0)</f>
        <v/>
      </c>
      <c r="P181" s="6">
        <f>IF(P133&gt;0,1,0)</f>
        <v/>
      </c>
      <c r="Q181" s="6">
        <f>IF(Q133&gt;0,1,0)</f>
        <v/>
      </c>
      <c r="R181" s="6">
        <f>IF(R133&gt;0,1,0)</f>
        <v/>
      </c>
      <c r="S181" s="6">
        <f>IF(S133&gt;0,1,0)</f>
        <v/>
      </c>
      <c r="T181" s="6">
        <f>IF(T133&gt;0,1,0)</f>
        <v/>
      </c>
      <c r="U181" s="6">
        <f>IF(U133&gt;0,1,0)</f>
        <v/>
      </c>
      <c r="V181" s="6">
        <f>IF(V133&gt;0,1,0)</f>
        <v/>
      </c>
      <c r="W181" s="6">
        <f>IF(W133&gt;0,1,0)</f>
        <v/>
      </c>
      <c r="X181" s="6">
        <f>IF(X133&gt;0,1,0)</f>
        <v/>
      </c>
      <c r="Y181" s="6">
        <f>IF(Y133&gt;0,1,0)</f>
        <v/>
      </c>
      <c r="Z181" s="6">
        <f>MATCH(1,B181:Y181,0)</f>
        <v/>
      </c>
    </row>
    <row r="182">
      <c r="A182" s="5" t="inlineStr">
        <is>
          <t xml:space="preserve">  Net P&amp;L Positive? (1=Yes)</t>
        </is>
      </c>
      <c r="B182" s="6">
        <f>IF(B168&gt;0,1,0)</f>
        <v/>
      </c>
      <c r="C182" s="6">
        <f>IF(C168&gt;0,1,0)</f>
        <v/>
      </c>
      <c r="D182" s="6">
        <f>IF(D168&gt;0,1,0)</f>
        <v/>
      </c>
      <c r="E182" s="6">
        <f>IF(E168&gt;0,1,0)</f>
        <v/>
      </c>
      <c r="F182" s="6">
        <f>IF(F168&gt;0,1,0)</f>
        <v/>
      </c>
      <c r="G182" s="6">
        <f>IF(G168&gt;0,1,0)</f>
        <v/>
      </c>
      <c r="H182" s="6">
        <f>IF(H168&gt;0,1,0)</f>
        <v/>
      </c>
      <c r="I182" s="6">
        <f>IF(I168&gt;0,1,0)</f>
        <v/>
      </c>
      <c r="J182" s="6">
        <f>IF(J168&gt;0,1,0)</f>
        <v/>
      </c>
      <c r="K182" s="6">
        <f>IF(K168&gt;0,1,0)</f>
        <v/>
      </c>
      <c r="L182" s="6">
        <f>IF(L168&gt;0,1,0)</f>
        <v/>
      </c>
      <c r="M182" s="6">
        <f>IF(M168&gt;0,1,0)</f>
        <v/>
      </c>
      <c r="N182" s="6">
        <f>IF(N168&gt;0,1,0)</f>
        <v/>
      </c>
      <c r="O182" s="6">
        <f>IF(O168&gt;0,1,0)</f>
        <v/>
      </c>
      <c r="P182" s="6">
        <f>IF(P168&gt;0,1,0)</f>
        <v/>
      </c>
      <c r="Q182" s="6">
        <f>IF(Q168&gt;0,1,0)</f>
        <v/>
      </c>
      <c r="R182" s="6">
        <f>IF(R168&gt;0,1,0)</f>
        <v/>
      </c>
      <c r="S182" s="6">
        <f>IF(S168&gt;0,1,0)</f>
        <v/>
      </c>
      <c r="T182" s="6">
        <f>IF(T168&gt;0,1,0)</f>
        <v/>
      </c>
      <c r="U182" s="6">
        <f>IF(U168&gt;0,1,0)</f>
        <v/>
      </c>
      <c r="V182" s="6">
        <f>IF(V168&gt;0,1,0)</f>
        <v/>
      </c>
      <c r="W182" s="6">
        <f>IF(W168&gt;0,1,0)</f>
        <v/>
      </c>
      <c r="X182" s="6">
        <f>IF(X168&gt;0,1,0)</f>
        <v/>
      </c>
      <c r="Y182" s="6">
        <f>IF(Y168&gt;0,1,0)</f>
        <v/>
      </c>
      <c r="Z182" s="6">
        <f>MATCH(1,B182:Y182,0)</f>
        <v/>
      </c>
    </row>
    <row r="183">
      <c r="A183" s="5" t="inlineStr">
        <is>
          <t xml:space="preserve">  Cash &gt; EUR 500K? (1=Yes)</t>
        </is>
      </c>
      <c r="B183" s="6">
        <f>IF(B169&gt;500000,1,0)</f>
        <v/>
      </c>
      <c r="C183" s="6">
        <f>IF(C169&gt;500000,1,0)</f>
        <v/>
      </c>
      <c r="D183" s="6">
        <f>IF(D169&gt;500000,1,0)</f>
        <v/>
      </c>
      <c r="E183" s="6">
        <f>IF(E169&gt;500000,1,0)</f>
        <v/>
      </c>
      <c r="F183" s="6">
        <f>IF(F169&gt;500000,1,0)</f>
        <v/>
      </c>
      <c r="G183" s="6">
        <f>IF(G169&gt;500000,1,0)</f>
        <v/>
      </c>
      <c r="H183" s="6">
        <f>IF(H169&gt;500000,1,0)</f>
        <v/>
      </c>
      <c r="I183" s="6">
        <f>IF(I169&gt;500000,1,0)</f>
        <v/>
      </c>
      <c r="J183" s="6">
        <f>IF(J169&gt;500000,1,0)</f>
        <v/>
      </c>
      <c r="K183" s="6">
        <f>IF(K169&gt;500000,1,0)</f>
        <v/>
      </c>
      <c r="L183" s="6">
        <f>IF(L169&gt;500000,1,0)</f>
        <v/>
      </c>
      <c r="M183" s="6">
        <f>IF(M169&gt;500000,1,0)</f>
        <v/>
      </c>
      <c r="N183" s="6">
        <f>IF(N169&gt;500000,1,0)</f>
        <v/>
      </c>
      <c r="O183" s="6">
        <f>IF(O169&gt;500000,1,0)</f>
        <v/>
      </c>
      <c r="P183" s="6">
        <f>IF(P169&gt;500000,1,0)</f>
        <v/>
      </c>
      <c r="Q183" s="6">
        <f>IF(Q169&gt;500000,1,0)</f>
        <v/>
      </c>
      <c r="R183" s="6">
        <f>IF(R169&gt;500000,1,0)</f>
        <v/>
      </c>
      <c r="S183" s="6">
        <f>IF(S169&gt;500000,1,0)</f>
        <v/>
      </c>
      <c r="T183" s="6">
        <f>IF(T169&gt;500000,1,0)</f>
        <v/>
      </c>
      <c r="U183" s="6">
        <f>IF(U169&gt;500000,1,0)</f>
        <v/>
      </c>
      <c r="V183" s="6">
        <f>IF(V169&gt;500000,1,0)</f>
        <v/>
      </c>
      <c r="W183" s="6">
        <f>IF(W169&gt;500000,1,0)</f>
        <v/>
      </c>
      <c r="X183" s="6">
        <f>IF(X169&gt;500000,1,0)</f>
        <v/>
      </c>
      <c r="Y183" s="6">
        <f>IF(Y169&gt;500000,1,0)</f>
        <v/>
      </c>
      <c r="Z183" s="6">
        <f>IFERROR(MATCH(1,B183:Y183,0),"Never")</f>
        <v/>
      </c>
    </row>
    <row r="184">
      <c r="A184" s="7" t="inlineStr">
        <is>
          <t xml:space="preserve">  EBITDA Break-Even Month</t>
        </is>
      </c>
      <c r="B184" s="28">
        <f>IFERROR("M"&amp;MATCH(1,B181:Y181,0),"Never")</f>
        <v/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>
      <c r="A185" s="7" t="inlineStr">
        <is>
          <t xml:space="preserve">  Net P&amp;L Break-Even Month</t>
        </is>
      </c>
      <c r="B185" s="28">
        <f>IFERROR("M"&amp;MATCH(1,B182:Y182,0),"Never")</f>
        <v/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9E7C"/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8" customWidth="1" min="3" max="3"/>
  </cols>
  <sheetData>
    <row r="1">
      <c r="A1" s="1" t="inlineStr">
        <is>
          <t>alche — P&amp;L Assumptions v4</t>
        </is>
      </c>
    </row>
    <row r="2">
      <c r="A2" s="2" t="inlineStr">
        <is>
          <t>Change any value here → P&amp;L auto-recalculates. All persona findings incorporated.</t>
        </is>
      </c>
    </row>
    <row r="4">
      <c r="A4" s="9" t="inlineStr">
        <is>
          <t>SUBSCRIPTION MODEL</t>
        </is>
      </c>
      <c r="B4" s="29" t="n"/>
      <c r="C4" s="29" t="n"/>
    </row>
    <row r="5">
      <c r="A5" s="30" t="inlineStr">
        <is>
          <t>Core tier price (EUR/mo)</t>
        </is>
      </c>
      <c r="B5" s="31" t="n">
        <v>19</v>
      </c>
      <c r="C5" s="2" t="inlineStr">
        <is>
          <t>Entry tier</t>
        </is>
      </c>
    </row>
    <row r="6">
      <c r="A6" s="30" t="inlineStr">
        <is>
          <t>Pro tier price (EUR/mo)</t>
        </is>
      </c>
      <c r="B6" s="31" t="n">
        <v>49</v>
      </c>
      <c r="C6" s="2" t="inlineStr">
        <is>
          <t>Sweet spot</t>
        </is>
      </c>
    </row>
    <row r="7">
      <c r="A7" s="30" t="inlineStr">
        <is>
          <t>Premium tier price (EUR/mo)</t>
        </is>
      </c>
      <c r="B7" s="31" t="n">
        <v>99</v>
      </c>
      <c r="C7" s="2" t="inlineStr">
        <is>
          <t>Highest ARPU</t>
        </is>
      </c>
    </row>
    <row r="8">
      <c r="A8" s="30" t="inlineStr">
        <is>
          <t>Monthly churn rate</t>
        </is>
      </c>
      <c r="B8" s="32" t="n">
        <v>0.08</v>
      </c>
      <c r="C8" s="2" t="inlineStr">
        <is>
          <t>8% — locked data</t>
        </is>
      </c>
    </row>
    <row r="9">
      <c r="A9" s="30" t="inlineStr">
        <is>
          <t>Core tier share</t>
        </is>
      </c>
      <c r="B9" s="32" t="n">
        <v>0.52</v>
      </c>
      <c r="C9" s="2" t="inlineStr">
        <is>
          <t>52%</t>
        </is>
      </c>
    </row>
    <row r="10">
      <c r="A10" s="30" t="inlineStr">
        <is>
          <t>Pro tier share</t>
        </is>
      </c>
      <c r="B10" s="32" t="n">
        <v>0.38</v>
      </c>
      <c r="C10" s="2" t="inlineStr">
        <is>
          <t>38%</t>
        </is>
      </c>
    </row>
    <row r="11">
      <c r="A11" s="30" t="inlineStr">
        <is>
          <t>Premium tier share</t>
        </is>
      </c>
      <c r="B11" s="32" t="n">
        <v>0.1</v>
      </c>
      <c r="C11" s="2" t="inlineStr">
        <is>
          <t>10%</t>
        </is>
      </c>
    </row>
    <row r="13">
      <c r="A13" s="9" t="inlineStr">
        <is>
          <t>SUBSCRIBER GROWTH (new subs/month)</t>
        </is>
      </c>
      <c r="B13" s="29" t="n"/>
      <c r="C13" s="29" t="n"/>
    </row>
    <row r="14">
      <c r="A14" s="30" t="inlineStr">
        <is>
          <t>M1-M3</t>
        </is>
      </c>
      <c r="B14" s="31" t="n">
        <v>0</v>
      </c>
      <c r="C14" s="2" t="inlineStr">
        <is>
          <t>Pre-launch — no app yet</t>
        </is>
      </c>
    </row>
    <row r="15">
      <c r="A15" s="30" t="inlineStr">
        <is>
          <t>M4-M6</t>
        </is>
      </c>
      <c r="B15" s="31" t="n">
        <v>15</v>
      </c>
      <c r="C15" s="2" t="inlineStr">
        <is>
          <t>Product launch</t>
        </is>
      </c>
    </row>
    <row r="16">
      <c r="A16" s="30" t="inlineStr">
        <is>
          <t>M7-M9</t>
        </is>
      </c>
      <c r="B16" s="31" t="n">
        <v>22</v>
      </c>
      <c r="C16" s="2" t="inlineStr">
        <is>
          <t>Growth acceleration</t>
        </is>
      </c>
    </row>
    <row r="17">
      <c r="A17" s="30" t="inlineStr">
        <is>
          <t>M10-M12</t>
        </is>
      </c>
      <c r="B17" s="31" t="n">
        <v>28</v>
      </c>
      <c r="C17" s="2" t="inlineStr">
        <is>
          <t>Marketing ramp</t>
        </is>
      </c>
    </row>
    <row r="18">
      <c r="A18" s="30" t="inlineStr">
        <is>
          <t>M13-M18</t>
        </is>
      </c>
      <c r="B18" s="31" t="n">
        <v>32</v>
      </c>
      <c r="C18" s="2" t="inlineStr">
        <is>
          <t>Scaling</t>
        </is>
      </c>
    </row>
    <row r="19">
      <c r="A19" s="30" t="inlineStr">
        <is>
          <t>M19-M24</t>
        </is>
      </c>
      <c r="B19" s="31" t="n">
        <v>38</v>
      </c>
      <c r="C19" s="2" t="inlineStr">
        <is>
          <t>Scaling phase</t>
        </is>
      </c>
    </row>
    <row r="21">
      <c r="A21" s="9" t="inlineStr">
        <is>
          <t>PRODUCT PRICING</t>
        </is>
      </c>
      <c r="B21" s="29" t="n"/>
      <c r="C21" s="29" t="n"/>
    </row>
    <row r="22">
      <c r="A22" s="30" t="inlineStr">
        <is>
          <t>Retail product price (EUR)</t>
        </is>
      </c>
      <c r="B22" s="31" t="n">
        <v>49</v>
      </c>
      <c r="C22" s="2" t="inlineStr">
        <is>
          <t>R10 validated</t>
        </is>
      </c>
    </row>
    <row r="23">
      <c r="A23" s="30" t="inlineStr">
        <is>
          <t>Retail product COGS (EUR/unit)</t>
        </is>
      </c>
      <c r="B23" s="31" t="n">
        <v>23.5</v>
      </c>
      <c r="C23" s="2" t="inlineStr">
        <is>
          <t>R10: wholesale ~48% of retail</t>
        </is>
      </c>
    </row>
    <row r="24">
      <c r="A24" s="30" t="inlineStr">
        <is>
          <t>LED session price (EUR)</t>
        </is>
      </c>
      <c r="B24" s="31" t="n">
        <v>0</v>
      </c>
      <c r="C24" s="2" t="inlineStr">
        <is>
          <t>Free with smoothie purchase</t>
        </is>
      </c>
    </row>
    <row r="25">
      <c r="A25" s="30" t="inlineStr">
        <is>
          <t>LED practitioner cost (EUR)</t>
        </is>
      </c>
      <c r="B25" s="31" t="n">
        <v>0</v>
      </c>
      <c r="C25" s="2" t="inlineStr">
        <is>
          <t>Self-service — no practitioner</t>
        </is>
      </c>
    </row>
    <row r="26">
      <c r="A26" s="30" t="inlineStr">
        <is>
          <t>Smoothie avg price (EUR)</t>
        </is>
      </c>
      <c r="B26" s="31" t="n">
        <v>9.67</v>
      </c>
      <c r="C26" s="2" t="inlineStr">
        <is>
          <t>R2 Cost Analysis</t>
        </is>
      </c>
    </row>
    <row r="27">
      <c r="A27" s="30" t="inlineStr">
        <is>
          <t>Smoothie COGS rate</t>
        </is>
      </c>
      <c r="B27" s="32" t="n">
        <v>0.35</v>
      </c>
      <c r="C27" s="2" t="inlineStr">
        <is>
          <t>35% ingredients+packaging (R2)</t>
        </is>
      </c>
    </row>
    <row r="28">
      <c r="A28" s="30" t="inlineStr">
        <is>
          <t>Event ticket price (EUR)</t>
        </is>
      </c>
      <c r="B28" s="31" t="n">
        <v>35</v>
      </c>
      <c r="C28" s="2" t="inlineStr">
        <is>
          <t>Community events</t>
        </is>
      </c>
    </row>
    <row r="29">
      <c r="A29" s="30" t="inlineStr">
        <is>
          <t>Event fixed cost (EUR)</t>
        </is>
      </c>
      <c r="B29" s="31" t="n">
        <v>250</v>
      </c>
      <c r="C29" s="2" t="inlineStr">
        <is>
          <t>Venue per event</t>
        </is>
      </c>
    </row>
    <row r="30">
      <c r="A30" s="30" t="inlineStr">
        <is>
          <t>Ticketing platform fee</t>
        </is>
      </c>
      <c r="B30" s="32" t="n">
        <v>0.07000000000000001</v>
      </c>
      <c r="C30" s="2" t="inlineStr">
        <is>
          <t>7% Luma/Eventbrite</t>
        </is>
      </c>
    </row>
    <row r="31">
      <c r="A31" s="30" t="inlineStr">
        <is>
          <t>Doctor SaaS fee (EUR/mo)</t>
        </is>
      </c>
      <c r="B31" s="31" t="n">
        <v>99</v>
      </c>
      <c r="C31" s="2" t="inlineStr">
        <is>
          <t>D1: StGB 299a safe</t>
        </is>
      </c>
    </row>
    <row r="32">
      <c r="A32" s="30" t="inlineStr">
        <is>
          <t>Doctor verify cost (EUR)</t>
        </is>
      </c>
      <c r="B32" s="31" t="n">
        <v>25</v>
      </c>
      <c r="C32" s="2" t="inlineStr">
        <is>
          <t>Per new doctor</t>
        </is>
      </c>
    </row>
    <row r="33">
      <c r="A33" s="30" t="inlineStr">
        <is>
          <t>Doctor max clinics</t>
        </is>
      </c>
      <c r="B33" s="31" t="n">
        <v>20</v>
      </c>
      <c r="C33" s="2" t="inlineStr">
        <is>
          <t>Cap M1-24</t>
        </is>
      </c>
    </row>
    <row r="35">
      <c r="A35" s="9" t="inlineStr">
        <is>
          <t>COST RATES</t>
        </is>
      </c>
      <c r="B35" s="29" t="n"/>
      <c r="C35" s="29" t="n"/>
    </row>
    <row r="36">
      <c r="A36" s="30" t="inlineStr">
        <is>
          <t>Waste — blended rate</t>
        </is>
      </c>
      <c r="B36" s="33" t="n">
        <v>0.055</v>
      </c>
      <c r="C36" s="2" t="inlineStr">
        <is>
          <t>D7: capsules 4%, powders 7%</t>
        </is>
      </c>
    </row>
    <row r="37">
      <c r="A37" s="30" t="inlineStr">
        <is>
          <t>3PL fulfillment (EUR/unit)</t>
        </is>
      </c>
      <c r="B37" s="31" t="n">
        <v>2.5</v>
      </c>
      <c r="C37" s="2" t="inlineStr">
        <is>
          <t>Retail products only</t>
        </is>
      </c>
    </row>
    <row r="38">
      <c r="A38" s="30" t="inlineStr">
        <is>
          <t>Stripe fee rate</t>
        </is>
      </c>
      <c r="B38" s="33" t="n">
        <v>0.029</v>
      </c>
      <c r="C38" s="2" t="inlineStr">
        <is>
          <t>2.9%</t>
        </is>
      </c>
    </row>
    <row r="39">
      <c r="A39" s="30" t="inlineStr">
        <is>
          <t>AI API per user (EUR/mo)</t>
        </is>
      </c>
      <c r="B39" s="31" t="n">
        <v>0.35</v>
      </c>
      <c r="C39" s="2" t="inlineStr">
        <is>
          <t>D6: hybrid Claude+Gemini</t>
        </is>
      </c>
    </row>
    <row r="40">
      <c r="A40" s="30" t="inlineStr">
        <is>
          <t>Refund/returns reserve</t>
        </is>
      </c>
      <c r="B40" s="33" t="n">
        <v>0.015</v>
      </c>
      <c r="C40" s="2" t="inlineStr">
        <is>
          <t>1.5% of product revenue</t>
        </is>
      </c>
    </row>
    <row r="41">
      <c r="A41" s="30" t="inlineStr">
        <is>
          <t>Bad debt provision</t>
        </is>
      </c>
      <c r="B41" s="33" t="n">
        <v>0.005</v>
      </c>
      <c r="C41" s="2" t="inlineStr">
        <is>
          <t>P5: 0.5% of total revenue</t>
        </is>
      </c>
    </row>
    <row r="43">
      <c r="A43" s="9" t="inlineStr">
        <is>
          <t>PAYROLL</t>
        </is>
      </c>
      <c r="B43" s="29" t="n"/>
      <c r="C43" s="29" t="n"/>
    </row>
    <row r="44">
      <c r="A44" s="30" t="inlineStr">
        <is>
          <t>Founder gross salary (each)</t>
        </is>
      </c>
      <c r="B44" s="31" t="n">
        <v>2000</v>
      </c>
      <c r="C44" s="2" t="inlineStr">
        <is>
          <t>EUR 24K/yr gross each (Timu + Daria)</t>
        </is>
      </c>
    </row>
    <row r="45">
      <c r="A45" s="30" t="inlineStr">
        <is>
          <t>Employer multiplier</t>
        </is>
      </c>
      <c r="B45" s="31" t="n">
        <v>1.25</v>
      </c>
      <c r="C45" s="2" t="inlineStr">
        <is>
          <t>P2/P7: incl. U1/U2/U3 (was 1.22)</t>
        </is>
      </c>
    </row>
    <row r="46">
      <c r="A46" s="30" t="inlineStr">
        <is>
          <t>Space staff gross (M4+)</t>
        </is>
      </c>
      <c r="B46" s="31" t="n">
        <v>1230</v>
      </c>
      <c r="C46" s="2" t="inlineStr">
        <is>
          <t>Midijob ~25 hrs/wk</t>
        </is>
      </c>
    </row>
    <row r="47">
      <c r="A47" s="30" t="inlineStr">
        <is>
          <t>Partner Mgr gross (M6+)</t>
        </is>
      </c>
      <c r="B47" s="31" t="n">
        <v>2000</v>
      </c>
      <c r="C47" s="2" t="inlineStr">
        <is>
          <t>EUR/mo</t>
        </is>
      </c>
    </row>
    <row r="48">
      <c r="A48" s="30" t="inlineStr">
        <is>
          <t>CTO gross (M18+)</t>
        </is>
      </c>
      <c r="B48" s="31" t="n">
        <v>6500</v>
      </c>
      <c r="C48" s="2" t="inlineStr">
        <is>
          <t>EUR 78K — P7: below 25th pctile</t>
        </is>
      </c>
    </row>
    <row r="49">
      <c r="A49" s="30" t="inlineStr">
        <is>
          <t>BG insurance rate</t>
        </is>
      </c>
      <c r="B49" s="33" t="n">
        <v>0.005</v>
      </c>
      <c r="C49" s="2" t="inlineStr">
        <is>
          <t>P7: ~0.5% for office (was 1.5%)</t>
        </is>
      </c>
    </row>
    <row r="50">
      <c r="A50" s="30" t="inlineStr">
        <is>
          <t>KSK levy rate</t>
        </is>
      </c>
      <c r="B50" s="33" t="n">
        <v>0.049</v>
      </c>
      <c r="C50" s="2" t="inlineStr">
        <is>
          <t>P2: 4.9% on creative freelancer fees</t>
        </is>
      </c>
    </row>
    <row r="51">
      <c r="A51" s="30" t="inlineStr">
        <is>
          <t>Recruitment CTO (M14, contingency)</t>
        </is>
      </c>
      <c r="B51" s="31" t="n">
        <v>19000</v>
      </c>
      <c r="C51" s="2" t="inlineStr">
        <is>
          <t>EX-10: EUR 19K if network hire fails; moved to M14</t>
        </is>
      </c>
    </row>
    <row r="52">
      <c r="A52" s="30" t="inlineStr">
        <is>
          <t>CTO onboarding (M18)</t>
        </is>
      </c>
      <c r="B52" s="31" t="n">
        <v>3500</v>
      </c>
      <c r="C52" s="2" t="inlineStr">
        <is>
          <t>P7: equipment + setup</t>
        </is>
      </c>
    </row>
    <row r="55">
      <c r="A55" s="9" t="inlineStr">
        <is>
          <t>FIXED OPERATING COSTS</t>
        </is>
      </c>
      <c r="B55" s="29" t="n"/>
      <c r="C55" s="29" t="n"/>
    </row>
    <row r="56">
      <c r="A56" s="30" t="inlineStr">
        <is>
          <t>App maintenance retainer (legacy)</t>
        </is>
      </c>
      <c r="B56" s="31" t="n">
        <v>1500</v>
      </c>
      <c r="C56" s="2" t="inlineStr">
        <is>
          <t>EX-06: Superseded by MVP CapEx approach</t>
        </is>
      </c>
    </row>
    <row r="57">
      <c r="A57" s="30" t="inlineStr">
        <is>
          <t>Claude Max (internal AI)</t>
        </is>
      </c>
      <c r="B57" s="31" t="n">
        <v>210</v>
      </c>
      <c r="C57" s="2" t="inlineStr">
        <is>
          <t>D6: team budget</t>
        </is>
      </c>
    </row>
    <row r="58">
      <c r="A58" s="30" t="inlineStr">
        <is>
          <t>SaaS Stack M1-6</t>
        </is>
      </c>
      <c r="B58" s="31" t="n">
        <v>338</v>
      </c>
      <c r="C58" s="2" t="inlineStr">
        <is>
          <t>D9: Google, Figma, Notion, Crisp</t>
        </is>
      </c>
    </row>
    <row r="59">
      <c r="A59" s="30" t="inlineStr">
        <is>
          <t>SaaS Stack M7-12</t>
        </is>
      </c>
      <c r="B59" s="31" t="n">
        <v>500</v>
      </c>
      <c r="C59" s="2" t="inlineStr">
        <is>
          <t>D9: + tools</t>
        </is>
      </c>
    </row>
    <row r="60">
      <c r="A60" s="30" t="inlineStr">
        <is>
          <t>SaaS Stack M13+</t>
        </is>
      </c>
      <c r="B60" s="31" t="n">
        <v>750</v>
      </c>
      <c r="C60" s="2" t="inlineStr">
        <is>
          <t>D9: full stack</t>
        </is>
      </c>
    </row>
    <row r="61">
      <c r="A61" s="30" t="inlineStr">
        <is>
          <t>Rent M1-3 (co-working)</t>
        </is>
      </c>
      <c r="B61" s="31" t="n">
        <v>750</v>
      </c>
      <c r="C61" s="2" t="inlineStr">
        <is>
          <t>Before space opens</t>
        </is>
      </c>
    </row>
    <row r="62">
      <c r="A62" s="30" t="inlineStr">
        <is>
          <t>Rent M4+ (all-in, incl. Nebenkosten)</t>
        </is>
      </c>
      <c r="B62" s="31" t="n">
        <v>1500</v>
      </c>
      <c r="C62" s="2" t="inlineStr">
        <is>
          <t>EX-07: EUR 1,500/mo all-in (50sqm B-location)</t>
        </is>
      </c>
    </row>
    <row r="63">
      <c r="A63" s="30" t="inlineStr">
        <is>
          <t>Nebenkosten M4+ (bundled in rent)</t>
        </is>
      </c>
      <c r="B63" s="31" t="n">
        <v>0</v>
      </c>
      <c r="C63" s="2" t="inlineStr">
        <is>
          <t>EX-07: EUR 0 — included in EUR 1,500 all-in rent</t>
        </is>
      </c>
    </row>
    <row r="64">
      <c r="A64" s="30" t="inlineStr">
        <is>
          <t>Steuerberater</t>
        </is>
      </c>
      <c r="B64" s="31" t="n">
        <v>400</v>
      </c>
      <c r="C64" s="2" t="inlineStr">
        <is>
          <t>Tax advisor monthly</t>
        </is>
      </c>
    </row>
    <row r="65">
      <c r="A65" s="30" t="inlineStr">
        <is>
          <t>General liability insurance</t>
        </is>
      </c>
      <c r="B65" s="31" t="n">
        <v>200</v>
      </c>
      <c r="C65" s="2" t="inlineStr">
        <is>
          <t>Betriebshaftpflicht</t>
        </is>
      </c>
    </row>
    <row r="66">
      <c r="A66" s="30" t="inlineStr">
        <is>
          <t>D&amp;O insurance</t>
        </is>
      </c>
      <c r="B66" s="31" t="n">
        <v>100</v>
      </c>
      <c r="C66" s="2" t="inlineStr">
        <is>
          <t>P6: mandatory with investors</t>
        </is>
      </c>
    </row>
    <row r="67">
      <c r="A67" s="30" t="inlineStr">
        <is>
          <t>Cyber insurance</t>
        </is>
      </c>
      <c r="B67" s="31" t="n">
        <v>150</v>
      </c>
      <c r="C67" s="2" t="inlineStr">
        <is>
          <t>P6: health data — Art. 9 GDPR</t>
        </is>
      </c>
    </row>
    <row r="68">
      <c r="A68" s="30" t="inlineStr">
        <is>
          <t>Product liability insurance</t>
        </is>
      </c>
      <c r="B68" s="31" t="n">
        <v>100</v>
      </c>
      <c r="C68" s="2" t="inlineStr">
        <is>
          <t>P6: supplements</t>
        </is>
      </c>
    </row>
    <row r="69">
      <c r="A69" s="30" t="inlineStr">
        <is>
          <t>Product recall insurance M4+</t>
        </is>
      </c>
      <c r="B69" s="31" t="n">
        <v>100</v>
      </c>
      <c r="C69" s="2" t="inlineStr">
        <is>
          <t>P4: for NEM retail</t>
        </is>
      </c>
    </row>
    <row r="70">
      <c r="A70" s="30" t="inlineStr">
        <is>
          <t>Utilities M4+ (Strom/Gas/Wasser)</t>
        </is>
      </c>
      <c r="B70" s="31" t="n">
        <v>500</v>
      </c>
      <c r="C70" s="2" t="inlineStr">
        <is>
          <t>P3: was EUR 400</t>
        </is>
      </c>
    </row>
    <row r="71">
      <c r="A71" s="30" t="inlineStr">
        <is>
          <t>Cleaning/maintenance M4+</t>
        </is>
      </c>
      <c r="B71" s="31" t="n">
        <v>300</v>
      </c>
      <c r="C71" s="2" t="inlineStr">
        <is>
          <t>P3: daily cleaning</t>
        </is>
      </c>
    </row>
    <row r="72">
      <c r="A72" s="30" t="inlineStr">
        <is>
          <t>Maintenance reserve M4+</t>
        </is>
      </c>
      <c r="B72" s="31" t="n">
        <v>200</v>
      </c>
      <c r="C72" s="2" t="inlineStr">
        <is>
          <t>P3: equipment repairs</t>
        </is>
      </c>
    </row>
    <row r="73">
      <c r="A73" s="30" t="inlineStr">
        <is>
          <t>Waste disposal M4+</t>
        </is>
      </c>
      <c r="B73" s="31" t="n">
        <v>120</v>
      </c>
      <c r="C73" s="2" t="inlineStr">
        <is>
          <t>P3: BSR commercial</t>
        </is>
      </c>
    </row>
    <row r="74">
      <c r="A74" s="30" t="inlineStr">
        <is>
          <t>WiFi / internet M4+</t>
        </is>
      </c>
      <c r="B74" s="31" t="n">
        <v>50</v>
      </c>
      <c r="C74" s="2" t="inlineStr">
        <is>
          <t>P3: business fiber</t>
        </is>
      </c>
    </row>
    <row r="75">
      <c r="A75" s="30" t="inlineStr">
        <is>
          <t>POS SaaS M4+ (SumUp Essentials)</t>
        </is>
      </c>
      <c r="B75" s="31" t="n">
        <v>39</v>
      </c>
      <c r="C75" s="2" t="inlineStr">
        <is>
          <t>EX-11: SumUp Essentials actual price (was EUR 50)</t>
        </is>
      </c>
    </row>
    <row r="76">
      <c r="A76" s="30" t="inlineStr">
        <is>
          <t>DSB (ext. DPO) monthly</t>
        </is>
      </c>
      <c r="B76" s="31" t="n">
        <v>400</v>
      </c>
      <c r="C76" s="2" t="inlineStr">
        <is>
          <t>P6: MANDATORY Art. 37 GDPR</t>
        </is>
      </c>
    </row>
    <row r="77">
      <c r="A77" s="30" t="inlineStr">
        <is>
          <t>CMP tool (cookie consent)</t>
        </is>
      </c>
      <c r="B77" s="31" t="n">
        <v>25</v>
      </c>
      <c r="C77" s="2" t="inlineStr">
        <is>
          <t>P6: TDDDG required</t>
        </is>
      </c>
    </row>
    <row r="78">
      <c r="A78" s="30" t="inlineStr">
        <is>
          <t>Food safety compliance M4+</t>
        </is>
      </c>
      <c r="B78" s="31" t="n">
        <v>80</v>
      </c>
      <c r="C78" s="2" t="inlineStr">
        <is>
          <t>P4: HACCP + monitoring</t>
        </is>
      </c>
    </row>
    <row r="79">
      <c r="A79" s="30" t="inlineStr">
        <is>
          <t>IHK Berlin (annual ÷ 12)</t>
        </is>
      </c>
      <c r="B79" s="31" t="n">
        <v>10</v>
      </c>
      <c r="C79" s="2" t="inlineStr">
        <is>
          <t>P2: EUR 120/yr (was EUR 25)</t>
        </is>
      </c>
    </row>
    <row r="80">
      <c r="A80" s="30" t="inlineStr">
        <is>
          <t>GEMA M4+ (Tarif M-U + Soundtrack)</t>
        </is>
      </c>
      <c r="B80" s="31" t="n">
        <v>35</v>
      </c>
      <c r="C80" s="2" t="inlineStr">
        <is>
          <t>EX-13: EUR 9.75/mo GEMA + EUR 25 Soundtrack Your Brand (was EUR 31)</t>
        </is>
      </c>
    </row>
    <row r="81">
      <c r="A81" s="30" t="inlineStr">
        <is>
          <t>Rundfunkbeitrag</t>
        </is>
      </c>
      <c r="B81" s="31" t="n">
        <v>6</v>
      </c>
      <c r="C81" s="2" t="inlineStr">
        <is>
          <t>P2: EUR 6.12/mo for 0-8 employees</t>
        </is>
      </c>
    </row>
    <row r="82">
      <c r="A82" s="30" t="inlineStr">
        <is>
          <t>Verpackungsgesetz (annual ÷ 12)</t>
        </is>
      </c>
      <c r="B82" s="31" t="n">
        <v>6</v>
      </c>
      <c r="C82" s="2" t="inlineStr">
        <is>
          <t>P2: LUCID + dual system</t>
        </is>
      </c>
    </row>
    <row r="85">
      <c r="A85" s="9" t="inlineStr">
        <is>
          <t>SALES &amp; MARKETING</t>
        </is>
      </c>
      <c r="B85" s="29" t="n"/>
      <c r="C85" s="29" t="n"/>
    </row>
    <row r="86">
      <c r="A86" s="30" t="inlineStr">
        <is>
          <t>Content creation tools</t>
        </is>
      </c>
      <c r="B86" s="31" t="n">
        <v>150</v>
      </c>
      <c r="C86" s="2" t="inlineStr">
        <is>
          <t>Canva, stock, etc.</t>
        </is>
      </c>
    </row>
    <row r="87">
      <c r="A87" s="30" t="inlineStr">
        <is>
          <t>Influencer seeding M7+</t>
        </is>
      </c>
      <c r="B87" s="31" t="n">
        <v>200</v>
      </c>
      <c r="C87" s="2" t="inlineStr">
        <is>
          <t>Product seeding</t>
        </is>
      </c>
    </row>
    <row r="88">
      <c r="A88" s="30" t="inlineStr">
        <is>
          <t>Investor travel</t>
        </is>
      </c>
      <c r="B88" s="31" t="n">
        <v>150</v>
      </c>
      <c r="C88" s="2" t="inlineStr">
        <is>
          <t>Monthly</t>
        </is>
      </c>
    </row>
    <row r="89">
      <c r="A89" s="30" t="inlineStr">
        <is>
          <t>Conferences M7+</t>
        </is>
      </c>
      <c r="B89" s="31" t="n">
        <v>100</v>
      </c>
      <c r="C89" s="2" t="inlineStr">
        <is>
          <t>Industry events</t>
        </is>
      </c>
    </row>
    <row r="90">
      <c r="A90" s="30" t="inlineStr">
        <is>
          <t>Local transport</t>
        </is>
      </c>
      <c r="B90" s="31" t="n">
        <v>50</v>
      </c>
      <c r="C90" s="2" t="inlineStr">
        <is>
          <t>BVG</t>
        </is>
      </c>
    </row>
    <row r="92">
      <c r="A92" s="9" t="inlineStr">
        <is>
          <t>BUFFERS</t>
        </is>
      </c>
      <c r="B92" s="29" t="n"/>
      <c r="C92" s="29" t="n"/>
    </row>
    <row r="93">
      <c r="A93" s="30" t="inlineStr">
        <is>
          <t>Contingency buffer rate</t>
        </is>
      </c>
      <c r="B93" s="32" t="n">
        <v>0.1</v>
      </c>
      <c r="C93" s="2" t="inlineStr">
        <is>
          <t>10% of OpEx (pre-contingency)</t>
        </is>
      </c>
    </row>
    <row r="94">
      <c r="A94" s="30" t="inlineStr">
        <is>
          <t>Bank fees</t>
        </is>
      </c>
      <c r="B94" s="31" t="n">
        <v>35</v>
      </c>
      <c r="C94" s="2" t="inlineStr">
        <is>
          <t>P5: Geschaeftskonto monthly</t>
        </is>
      </c>
    </row>
    <row r="96">
      <c r="A96" s="9" t="inlineStr">
        <is>
          <t>TAX (P2: Berlin GmbH)</t>
        </is>
      </c>
      <c r="B96" s="29" t="n"/>
      <c r="C96" s="29" t="n"/>
    </row>
    <row r="97">
      <c r="A97" s="30" t="inlineStr">
        <is>
          <t>Gewerbesteuer rate (Berlin)</t>
        </is>
      </c>
      <c r="B97" s="34" t="n">
        <v>0.1435</v>
      </c>
      <c r="C97" s="2" t="inlineStr">
        <is>
          <t>P2: 3.5% × 410% Hebesatz</t>
        </is>
      </c>
    </row>
    <row r="98">
      <c r="A98" s="30" t="inlineStr">
        <is>
          <t>KSt + Soli rate</t>
        </is>
      </c>
      <c r="B98" s="35" t="n">
        <v>0.15825</v>
      </c>
      <c r="C98" s="2" t="inlineStr">
        <is>
          <t>P2: 15% + 5.5% Soli</t>
        </is>
      </c>
    </row>
    <row r="99">
      <c r="A99" s="30" t="inlineStr">
        <is>
          <t>Combined tax rate (simplified)</t>
        </is>
      </c>
      <c r="B99" s="32" t="n">
        <v>0.3</v>
      </c>
      <c r="C99" s="2" t="inlineStr">
        <is>
          <t>P2: ~30.18% rounded down</t>
        </is>
      </c>
    </row>
    <row r="101">
      <c r="A101" s="9" t="inlineStr">
        <is>
          <t>CAPITAL EXPENDITURES</t>
        </is>
      </c>
      <c r="B101" s="29" t="n"/>
      <c r="C101" s="29" t="n"/>
    </row>
    <row r="102">
      <c r="A102" s="30" t="inlineStr">
        <is>
          <t>GmbH Formation (M1)</t>
        </is>
      </c>
      <c r="B102" s="31" t="n">
        <v>2500</v>
      </c>
      <c r="C102" s="2" t="inlineStr">
        <is>
          <t>Notary + registration</t>
        </is>
      </c>
    </row>
    <row r="103">
      <c r="A103" s="30" t="inlineStr">
        <is>
          <t>Legal Opinion HWG (M1)</t>
        </is>
      </c>
      <c r="B103" s="31" t="n">
        <v>3500</v>
      </c>
      <c r="C103" s="2" t="inlineStr">
        <is>
          <t>D3/R3</t>
        </is>
      </c>
    </row>
    <row r="104">
      <c r="A104" s="30" t="inlineStr">
        <is>
          <t>R&amp;D Stability Testing (M1)</t>
        </is>
      </c>
      <c r="B104" s="31" t="n">
        <v>5000</v>
      </c>
      <c r="C104" s="2" t="inlineStr">
        <is>
          <t>Supplement formulation</t>
        </is>
      </c>
    </row>
    <row r="105">
      <c r="A105" s="30" t="inlineStr">
        <is>
          <t>DPIA (M1)</t>
        </is>
      </c>
      <c r="B105" s="31" t="n">
        <v>7500</v>
      </c>
      <c r="C105" s="2" t="inlineStr">
        <is>
          <t>P6: MANDATORY Art. 35 GDPR</t>
        </is>
      </c>
    </row>
    <row r="106">
      <c r="A106" s="30" t="inlineStr">
        <is>
          <t>MDR Classification Opinion (M1)</t>
        </is>
      </c>
      <c r="B106" s="31" t="n">
        <v>7500</v>
      </c>
      <c r="C106" s="2" t="inlineStr">
        <is>
          <t>P6: MANDATORY pre-launch</t>
        </is>
      </c>
    </row>
    <row r="107">
      <c r="A107" s="30" t="inlineStr">
        <is>
          <t>Privacy Policy + ToS (M1)</t>
        </is>
      </c>
      <c r="B107" s="31" t="n">
        <v>5000</v>
      </c>
      <c r="C107" s="2" t="inlineStr">
        <is>
          <t>P6: Art. 13/14 GDPR</t>
        </is>
      </c>
    </row>
    <row r="108">
      <c r="A108" s="30" t="inlineStr">
        <is>
          <t>App Design &amp; Development (M1)</t>
        </is>
      </c>
      <c r="B108" s="31" t="n">
        <v>15000</v>
      </c>
      <c r="C108" s="2" t="inlineStr">
        <is>
          <t>CapEx: UX/UI capitalized</t>
        </is>
      </c>
    </row>
    <row r="109">
      <c r="A109" s="30" t="inlineStr">
        <is>
          <t>Space Buildout (M3)</t>
        </is>
      </c>
      <c r="B109" s="31" t="n">
        <v>25000</v>
      </c>
      <c r="C109" s="2" t="inlineStr">
        <is>
          <t>P3: was EUR 15K</t>
        </is>
      </c>
    </row>
    <row r="110">
      <c r="A110" s="30" t="inlineStr">
        <is>
          <t>Kitchen Equipment (M3)</t>
        </is>
      </c>
      <c r="B110" s="31" t="n">
        <v>20000</v>
      </c>
      <c r="C110" s="2" t="inlineStr">
        <is>
          <t>Smoothie bar</t>
        </is>
      </c>
    </row>
    <row r="111">
      <c r="A111" s="30" t="inlineStr">
        <is>
          <t>LED Therapy Devices (M3)</t>
        </is>
      </c>
      <c r="B111" s="31" t="n">
        <v>5000</v>
      </c>
      <c r="C111" s="2" t="inlineStr">
        <is>
          <t>MITO LIGHT panels</t>
        </is>
      </c>
    </row>
    <row r="112">
      <c r="A112" s="30" t="inlineStr">
        <is>
          <t>Fire Safety Equipment (M3)</t>
        </is>
      </c>
      <c r="B112" s="31" t="n">
        <v>300</v>
      </c>
      <c r="C112" s="2" t="inlineStr">
        <is>
          <t>P3: extinguishers + signage</t>
        </is>
      </c>
    </row>
    <row r="113">
      <c r="A113" s="30" t="inlineStr">
        <is>
          <t>Signage &amp; Branding (M3)</t>
        </is>
      </c>
      <c r="B113" s="31" t="n">
        <v>500</v>
      </c>
      <c r="C113" s="2" t="inlineStr">
        <is>
          <t>P3: window + exterior</t>
        </is>
      </c>
    </row>
    <row r="114">
      <c r="A114" s="30" t="inlineStr">
        <is>
          <t>HACCP Plan Setup (M3)</t>
        </is>
      </c>
      <c r="B114" s="31" t="n">
        <v>1000</v>
      </c>
      <c r="C114" s="2" t="inlineStr">
        <is>
          <t>P4: consultant</t>
        </is>
      </c>
    </row>
    <row r="115">
      <c r="A115" s="30" t="inlineStr">
        <is>
          <t>Hygiene Training (M3)</t>
        </is>
      </c>
      <c r="B115" s="31" t="n">
        <v>60</v>
      </c>
      <c r="C115" s="2" t="inlineStr">
        <is>
          <t>P4: IfSG §43 × 4 persons</t>
        </is>
      </c>
    </row>
    <row r="116">
      <c r="A116" s="30" t="inlineStr">
        <is>
          <t>Food Safety Equipment (M3)</t>
        </is>
      </c>
      <c r="B116" s="31" t="n">
        <v>500</v>
      </c>
      <c r="C116" s="2" t="inlineStr">
        <is>
          <t>P4: thermometers + sensors</t>
        </is>
      </c>
    </row>
    <row r="117">
      <c r="A117" s="30" t="inlineStr">
        <is>
          <t>Ablöse — Key Money (M3)</t>
        </is>
      </c>
      <c r="B117" s="31" t="n">
        <v>50000</v>
      </c>
      <c r="C117" s="2" t="inlineStr">
        <is>
          <t>Hava parası — commercial lease takeover</t>
        </is>
      </c>
    </row>
    <row r="118">
      <c r="A118" s="30" t="inlineStr">
        <is>
          <t>Kaution — Security Deposit (M3)</t>
        </is>
      </c>
      <c r="B118" s="31" t="n">
        <v>7500</v>
      </c>
      <c r="C118" s="2" t="inlineStr">
        <is>
          <t>3 months Kaltmiete (refundable, NOT P&amp;L)</t>
        </is>
      </c>
    </row>
    <row r="119">
      <c r="A119" s="30" t="inlineStr">
        <is>
          <t>Depreciation period (months)</t>
        </is>
      </c>
      <c r="B119" s="31" t="n">
        <v>36</v>
      </c>
      <c r="C119" s="2" t="inlineStr">
        <is>
          <t>Linear 3-year</t>
        </is>
      </c>
    </row>
    <row r="120">
      <c r="A120" s="9" t="inlineStr">
        <is>
          <t>SCENARIO MULTIPLIERS</t>
        </is>
      </c>
      <c r="B120" s="29" t="n"/>
      <c r="C120" s="29" t="n"/>
    </row>
    <row r="121">
      <c r="A121" s="30" t="inlineStr">
        <is>
          <t>Bull — revenue multiplier</t>
        </is>
      </c>
      <c r="B121" s="31" t="n">
        <v>1.3</v>
      </c>
      <c r="C121" s="2" t="inlineStr">
        <is>
          <t>Optimistic growth</t>
        </is>
      </c>
    </row>
    <row r="122">
      <c r="A122" s="30" t="inlineStr">
        <is>
          <t>Bull — churn multiplier</t>
        </is>
      </c>
      <c r="B122" s="31" t="n">
        <v>0.75</v>
      </c>
      <c r="C122" s="2" t="inlineStr">
        <is>
          <t>Lower churn</t>
        </is>
      </c>
    </row>
    <row r="123">
      <c r="A123" s="30" t="inlineStr">
        <is>
          <t>Bear — revenue multiplier</t>
        </is>
      </c>
      <c r="B123" s="31" t="n">
        <v>0.6</v>
      </c>
      <c r="C123" s="2" t="inlineStr">
        <is>
          <t>Slower growth</t>
        </is>
      </c>
    </row>
    <row r="124">
      <c r="A124" s="30" t="inlineStr">
        <is>
          <t>Bear — churn multiplier</t>
        </is>
      </c>
      <c r="B124" s="31" t="n">
        <v>1.5</v>
      </c>
      <c r="C124" s="2" t="inlineStr">
        <is>
          <t>Higher churn</t>
        </is>
      </c>
    </row>
    <row r="125">
      <c r="A125" s="30" t="inlineStr">
        <is>
          <t>Bear — CAC multiplier</t>
        </is>
      </c>
      <c r="B125" s="31" t="n">
        <v>2</v>
      </c>
      <c r="C125" s="2" t="inlineStr">
        <is>
          <t>Higher acquisition cost</t>
        </is>
      </c>
    </row>
    <row r="127">
      <c r="A127" s="9" t="inlineStr">
        <is>
          <t>v4 CHANGES — NEW ASSUMPTIONS (Feb 2026)</t>
        </is>
      </c>
      <c r="B127" s="29" t="n"/>
      <c r="C127" s="29" t="n"/>
    </row>
    <row r="128">
      <c r="A128" s="30" t="inlineStr">
        <is>
          <t>Annual Essential price (EUR/yr)</t>
        </is>
      </c>
      <c r="B128" s="36" t="n">
        <v>190</v>
      </c>
      <c r="C128" s="2" t="inlineStr">
        <is>
          <t>EX-01: 10 months — 2 months free</t>
        </is>
      </c>
    </row>
    <row r="129">
      <c r="A129" s="30" t="inlineStr">
        <is>
          <t>Annual Protocol price (EUR/yr)</t>
        </is>
      </c>
      <c r="B129" s="36" t="n">
        <v>490</v>
      </c>
      <c r="C129" s="2" t="inlineStr">
        <is>
          <t>EX-01: 10 months — 2 months free</t>
        </is>
      </c>
    </row>
    <row r="130">
      <c r="A130" s="30" t="inlineStr">
        <is>
          <t>Annual Concierge price (EUR/yr)</t>
        </is>
      </c>
      <c r="B130" s="36" t="n">
        <v>990</v>
      </c>
      <c r="C130" s="2" t="inlineStr">
        <is>
          <t>EX-01: 10 months — 2 months free</t>
        </is>
      </c>
    </row>
    <row r="131">
      <c r="A131" s="30" t="inlineStr">
        <is>
          <t>Annual mix M1-6</t>
        </is>
      </c>
      <c r="B131" s="32" t="n">
        <v>0.2</v>
      </c>
      <c r="C131" s="2" t="inlineStr">
        <is>
          <t>EX-01: 20% of new subs choose annual in M1-6</t>
        </is>
      </c>
    </row>
    <row r="132">
      <c r="A132" s="30" t="inlineStr">
        <is>
          <t>Annual mix M12+</t>
        </is>
      </c>
      <c r="B132" s="32" t="n">
        <v>0.3</v>
      </c>
      <c r="C132" s="2" t="inlineStr">
        <is>
          <t>EX-01: 30% on annual by M12; M7-11 = 25%</t>
        </is>
      </c>
    </row>
    <row r="133">
      <c r="A133" s="30" t="inlineStr">
        <is>
          <t>B2B PEPM rate (EUR/employee/mo)</t>
        </is>
      </c>
      <c r="B133" s="31" t="n">
        <v>39</v>
      </c>
      <c r="C133" s="2" t="inlineStr">
        <is>
          <t>EX-02: EUR 39/PEPM — just under EUR 600 BGM limit</t>
        </is>
      </c>
    </row>
    <row r="134">
      <c r="A134" s="30" t="inlineStr">
        <is>
          <t>B2B employees per client</t>
        </is>
      </c>
      <c r="B134" s="31" t="n">
        <v>15</v>
      </c>
      <c r="C134" s="2" t="inlineStr">
        <is>
          <t>EX-02: conservative 15 employees/client</t>
        </is>
      </c>
    </row>
    <row r="135">
      <c r="A135" s="30" t="inlineStr">
        <is>
          <t>Gift card net revenue/mo M4+ (EUR)</t>
        </is>
      </c>
      <c r="B135" s="31" t="n">
        <v>441</v>
      </c>
      <c r="C135" s="2" t="inlineStr">
        <is>
          <t>EX-03: 10 cards x EUR 49 x 90% = EUR 441 recognized</t>
        </is>
      </c>
    </row>
    <row r="136">
      <c r="A136" s="30" t="inlineStr">
        <is>
          <t>App MVP build CapEx M1 (EUR)</t>
        </is>
      </c>
      <c r="B136" s="36" t="n">
        <v>500</v>
      </c>
      <c r="C136" s="2" t="inlineStr">
        <is>
          <t>EX-06: Lean MVP (no-code tools, internal build)</t>
        </is>
      </c>
    </row>
    <row r="137">
      <c r="A137" s="30" t="inlineStr">
        <is>
          <t>POS hardware + TSE CapEx M3 (EUR)</t>
        </is>
      </c>
      <c r="B137" s="36" t="n">
        <v>1250</v>
      </c>
      <c r="C137" s="2" t="inlineStr">
        <is>
          <t>EX-11: SumUp POS Kit + hardware TSE module</t>
        </is>
      </c>
    </row>
    <row r="138">
      <c r="A138" s="30" t="inlineStr">
        <is>
          <t>CTO recruitment contingency M14 (EUR)</t>
        </is>
      </c>
      <c r="B138" s="36" t="n">
        <v>19000</v>
      </c>
      <c r="C138" s="2" t="inlineStr">
        <is>
          <t>EX-10: Agency fee if network search fails; NOT base case burn</t>
        </is>
      </c>
    </row>
    <row r="139">
      <c r="A139" s="30" t="inlineStr">
        <is>
          <t>Space security deposit M3 (EUR)</t>
        </is>
      </c>
      <c r="B139" s="36" t="n">
        <v>3600</v>
      </c>
      <c r="C139" s="2" t="inlineStr">
        <is>
          <t>EX-07: 3 months deposit for physical space (balance sheet, not P&amp;L)</t>
        </is>
      </c>
    </row>
    <row r="140">
      <c r="A140" s="30" t="inlineStr">
        <is>
          <t>CGM commission rate (EUR/user/mo)</t>
        </is>
      </c>
      <c r="B140" s="37" t="n">
        <v>15</v>
      </c>
      <c r="C140" s="2" t="inlineStr">
        <is>
          <t>D3: EUR 15/user/mo affiliate — zero COGS, pure margin</t>
        </is>
      </c>
    </row>
    <row r="141">
      <c r="A141" s="30" t="inlineStr">
        <is>
          <t>Annual mix M7-11</t>
        </is>
      </c>
      <c r="B141" s="32" t="n">
        <v>0.25</v>
      </c>
      <c r="C141" s="2" t="inlineStr">
        <is>
          <t>EX-01: 25% on annual in transition months M7-11</t>
        </is>
      </c>
    </row>
    <row r="142">
      <c r="A142" s="30" t="inlineStr">
        <is>
          <t>Pre-seed funding (EUR)</t>
        </is>
      </c>
      <c r="B142" s="36" t="n">
        <v>300000</v>
      </c>
      <c r="C142" s="2" t="inlineStr">
        <is>
          <t>EUR 300K @ EUR 2.5M cap — single source for all cash start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9E7C"/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1" t="inlineStr">
        <is>
          <t>alche — Monthly Growth Curves (Input Data)</t>
        </is>
      </c>
    </row>
    <row r="2">
      <c r="A2" s="2" t="inlineStr">
        <is>
          <t>Edit numbers to change unit forecasts. P&amp;L formulas reference these cells.</t>
        </is>
      </c>
    </row>
    <row r="3">
      <c r="A3" s="4" t="inlineStr">
        <is>
          <t>Metric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M13</t>
        </is>
      </c>
      <c r="O3" s="3" t="inlineStr">
        <is>
          <t>M14</t>
        </is>
      </c>
      <c r="P3" s="3" t="inlineStr">
        <is>
          <t>M15</t>
        </is>
      </c>
      <c r="Q3" s="3" t="inlineStr">
        <is>
          <t>M16</t>
        </is>
      </c>
      <c r="R3" s="3" t="inlineStr">
        <is>
          <t>M17</t>
        </is>
      </c>
      <c r="S3" s="3" t="inlineStr">
        <is>
          <t>M18</t>
        </is>
      </c>
      <c r="T3" s="3" t="inlineStr">
        <is>
          <t>M19</t>
        </is>
      </c>
      <c r="U3" s="3" t="inlineStr">
        <is>
          <t>M20</t>
        </is>
      </c>
      <c r="V3" s="3" t="inlineStr">
        <is>
          <t>M21</t>
        </is>
      </c>
      <c r="W3" s="3" t="inlineStr">
        <is>
          <t>M22</t>
        </is>
      </c>
      <c r="X3" s="3" t="inlineStr">
        <is>
          <t>M23</t>
        </is>
      </c>
      <c r="Y3" s="3" t="inlineStr">
        <is>
          <t>M24</t>
        </is>
      </c>
    </row>
    <row r="4">
      <c r="A4" s="17" t="inlineStr">
        <is>
          <t>Retail Units</t>
        </is>
      </c>
      <c r="B4" s="18" t="n">
        <v>0</v>
      </c>
      <c r="C4" s="18" t="n">
        <v>0</v>
      </c>
      <c r="D4" s="18" t="n">
        <v>0</v>
      </c>
      <c r="E4" s="18" t="n">
        <v>50</v>
      </c>
      <c r="F4" s="18" t="n">
        <v>100</v>
      </c>
      <c r="G4" s="18" t="n">
        <v>150</v>
      </c>
      <c r="H4" s="18" t="n">
        <v>250</v>
      </c>
      <c r="I4" s="18" t="n">
        <v>350</v>
      </c>
      <c r="J4" s="18" t="n">
        <v>450</v>
      </c>
      <c r="K4" s="18" t="n">
        <v>600</v>
      </c>
      <c r="L4" s="18" t="n">
        <v>750</v>
      </c>
      <c r="M4" s="18" t="n">
        <v>900</v>
      </c>
      <c r="N4" s="18" t="n">
        <v>1100</v>
      </c>
      <c r="O4" s="18" t="n">
        <v>1300</v>
      </c>
      <c r="P4" s="18" t="n">
        <v>1500</v>
      </c>
      <c r="Q4" s="18" t="n">
        <v>1800</v>
      </c>
      <c r="R4" s="18" t="n">
        <v>2100</v>
      </c>
      <c r="S4" s="18" t="n">
        <v>2400</v>
      </c>
      <c r="T4" s="18" t="n">
        <v>2700</v>
      </c>
      <c r="U4" s="18" t="n">
        <v>3000</v>
      </c>
      <c r="V4" s="18" t="n">
        <v>3400</v>
      </c>
      <c r="W4" s="18" t="n">
        <v>3800</v>
      </c>
      <c r="X4" s="18" t="n">
        <v>4200</v>
      </c>
      <c r="Y4" s="18" t="n">
        <v>4600</v>
      </c>
    </row>
    <row r="5">
      <c r="A5" s="17" t="inlineStr">
        <is>
          <t>LED Sessions</t>
        </is>
      </c>
      <c r="B5" s="18" t="n">
        <v>0</v>
      </c>
      <c r="C5" s="18" t="n">
        <v>0</v>
      </c>
      <c r="D5" s="18" t="n">
        <v>0</v>
      </c>
      <c r="E5" s="18" t="n">
        <v>10</v>
      </c>
      <c r="F5" s="18" t="n">
        <v>20</v>
      </c>
      <c r="G5" s="18" t="n">
        <v>35</v>
      </c>
      <c r="H5" s="18" t="n">
        <v>50</v>
      </c>
      <c r="I5" s="18" t="n">
        <v>65</v>
      </c>
      <c r="J5" s="18" t="n">
        <v>80</v>
      </c>
      <c r="K5" s="18" t="n">
        <v>100</v>
      </c>
      <c r="L5" s="18" t="n">
        <v>120</v>
      </c>
      <c r="M5" s="18" t="n">
        <v>140</v>
      </c>
      <c r="N5" s="18" t="n">
        <v>160</v>
      </c>
      <c r="O5" s="18" t="n">
        <v>180</v>
      </c>
      <c r="P5" s="18" t="n">
        <v>200</v>
      </c>
      <c r="Q5" s="18" t="n">
        <v>220</v>
      </c>
      <c r="R5" s="18" t="n">
        <v>240</v>
      </c>
      <c r="S5" s="18" t="n">
        <v>260</v>
      </c>
      <c r="T5" s="18" t="n">
        <v>280</v>
      </c>
      <c r="U5" s="18" t="n">
        <v>300</v>
      </c>
      <c r="V5" s="18" t="n">
        <v>300</v>
      </c>
      <c r="W5" s="18" t="n">
        <v>300</v>
      </c>
      <c r="X5" s="18" t="n">
        <v>300</v>
      </c>
      <c r="Y5" s="18" t="n">
        <v>300</v>
      </c>
    </row>
    <row r="6">
      <c r="A6" s="17" t="inlineStr">
        <is>
          <t>Smoothie Units</t>
        </is>
      </c>
      <c r="B6" s="18" t="n">
        <v>0</v>
      </c>
      <c r="C6" s="18" t="n">
        <v>0</v>
      </c>
      <c r="D6" s="18" t="n">
        <v>0</v>
      </c>
      <c r="E6" s="18" t="n">
        <v>100</v>
      </c>
      <c r="F6" s="18" t="n">
        <v>150</v>
      </c>
      <c r="G6" s="18" t="n">
        <v>250</v>
      </c>
      <c r="H6" s="18" t="n">
        <v>350</v>
      </c>
      <c r="I6" s="18" t="n">
        <v>450</v>
      </c>
      <c r="J6" s="18" t="n">
        <v>550</v>
      </c>
      <c r="K6" s="18" t="n">
        <v>650</v>
      </c>
      <c r="L6" s="18" t="n">
        <v>750</v>
      </c>
      <c r="M6" s="18" t="n">
        <v>850</v>
      </c>
      <c r="N6" s="18" t="n">
        <v>950</v>
      </c>
      <c r="O6" s="18" t="n">
        <v>1050</v>
      </c>
      <c r="P6" s="18" t="n">
        <v>1150</v>
      </c>
      <c r="Q6" s="18" t="n">
        <v>1250</v>
      </c>
      <c r="R6" s="18" t="n">
        <v>1350</v>
      </c>
      <c r="S6" s="18" t="n">
        <v>1450</v>
      </c>
      <c r="T6" s="18" t="n">
        <v>1550</v>
      </c>
      <c r="U6" s="18" t="n">
        <v>1650</v>
      </c>
      <c r="V6" s="18" t="n">
        <v>1750</v>
      </c>
      <c r="W6" s="18" t="n">
        <v>1850</v>
      </c>
      <c r="X6" s="18" t="n">
        <v>1950</v>
      </c>
      <c r="Y6" s="18" t="n">
        <v>2000</v>
      </c>
    </row>
    <row r="7">
      <c r="A7" s="17" t="inlineStr">
        <is>
          <t>Event Count</t>
        </is>
      </c>
      <c r="B7" s="18" t="n">
        <v>0</v>
      </c>
      <c r="C7" s="18" t="n">
        <v>0</v>
      </c>
      <c r="D7" s="18" t="n">
        <v>0</v>
      </c>
      <c r="E7" s="18" t="n">
        <v>1</v>
      </c>
      <c r="F7" s="18" t="n">
        <v>1</v>
      </c>
      <c r="G7" s="18" t="n">
        <v>2</v>
      </c>
      <c r="H7" s="18" t="n">
        <v>2</v>
      </c>
      <c r="I7" s="18" t="n">
        <v>3</v>
      </c>
      <c r="J7" s="18" t="n">
        <v>3</v>
      </c>
      <c r="K7" s="18" t="n">
        <v>3</v>
      </c>
      <c r="L7" s="18" t="n">
        <v>3</v>
      </c>
      <c r="M7" s="18" t="n">
        <v>3</v>
      </c>
      <c r="N7" s="18" t="n">
        <v>3</v>
      </c>
      <c r="O7" s="18" t="n">
        <v>3</v>
      </c>
      <c r="P7" s="18" t="n">
        <v>4</v>
      </c>
      <c r="Q7" s="18" t="n">
        <v>4</v>
      </c>
      <c r="R7" s="18" t="n">
        <v>4</v>
      </c>
      <c r="S7" s="18" t="n">
        <v>4</v>
      </c>
      <c r="T7" s="18" t="n">
        <v>4</v>
      </c>
      <c r="U7" s="18" t="n">
        <v>5</v>
      </c>
      <c r="V7" s="18" t="n">
        <v>5</v>
      </c>
      <c r="W7" s="18" t="n">
        <v>5</v>
      </c>
      <c r="X7" s="18" t="n">
        <v>5</v>
      </c>
      <c r="Y7" s="18" t="n">
        <v>5</v>
      </c>
    </row>
    <row r="8">
      <c r="A8" s="17" t="inlineStr">
        <is>
          <t>Event Avg Attendees</t>
        </is>
      </c>
      <c r="B8" s="18" t="n">
        <v>0</v>
      </c>
      <c r="C8" s="18" t="n">
        <v>0</v>
      </c>
      <c r="D8" s="18" t="n">
        <v>0</v>
      </c>
      <c r="E8" s="18" t="n">
        <v>12</v>
      </c>
      <c r="F8" s="18" t="n">
        <v>15</v>
      </c>
      <c r="G8" s="18" t="n">
        <v>15</v>
      </c>
      <c r="H8" s="18" t="n">
        <v>18</v>
      </c>
      <c r="I8" s="18" t="n">
        <v>18</v>
      </c>
      <c r="J8" s="18" t="n">
        <v>18</v>
      </c>
      <c r="K8" s="18" t="n">
        <v>20</v>
      </c>
      <c r="L8" s="18" t="n">
        <v>20</v>
      </c>
      <c r="M8" s="18" t="n">
        <v>20</v>
      </c>
      <c r="N8" s="18" t="n">
        <v>22</v>
      </c>
      <c r="O8" s="18" t="n">
        <v>22</v>
      </c>
      <c r="P8" s="18" t="n">
        <v>22</v>
      </c>
      <c r="Q8" s="18" t="n">
        <v>22</v>
      </c>
      <c r="R8" s="18" t="n">
        <v>24</v>
      </c>
      <c r="S8" s="18" t="n">
        <v>24</v>
      </c>
      <c r="T8" s="18" t="n">
        <v>25</v>
      </c>
      <c r="U8" s="18" t="n">
        <v>25</v>
      </c>
      <c r="V8" s="18" t="n">
        <v>25</v>
      </c>
      <c r="W8" s="18" t="n">
        <v>25</v>
      </c>
      <c r="X8" s="18" t="n">
        <v>25</v>
      </c>
      <c r="Y8" s="18" t="n">
        <v>25</v>
      </c>
    </row>
    <row r="9">
      <c r="A9" s="17" t="inlineStr">
        <is>
          <t>Doctor Clinics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2</v>
      </c>
      <c r="H9" s="18" t="n">
        <v>5</v>
      </c>
      <c r="I9" s="18" t="n">
        <v>8</v>
      </c>
      <c r="J9" s="18" t="n">
        <v>10</v>
      </c>
      <c r="K9" s="18" t="n">
        <v>12</v>
      </c>
      <c r="L9" s="18" t="n">
        <v>15</v>
      </c>
      <c r="M9" s="18" t="n">
        <v>17</v>
      </c>
      <c r="N9" s="18" t="n">
        <v>18</v>
      </c>
      <c r="O9" s="18" t="n">
        <v>19</v>
      </c>
      <c r="P9" s="18" t="n">
        <v>20</v>
      </c>
      <c r="Q9" s="18" t="n">
        <v>20</v>
      </c>
      <c r="R9" s="18" t="n">
        <v>20</v>
      </c>
      <c r="S9" s="18" t="n">
        <v>20</v>
      </c>
      <c r="T9" s="18" t="n">
        <v>20</v>
      </c>
      <c r="U9" s="18" t="n">
        <v>20</v>
      </c>
      <c r="V9" s="18" t="n">
        <v>20</v>
      </c>
      <c r="W9" s="18" t="n">
        <v>20</v>
      </c>
      <c r="X9" s="18" t="n">
        <v>20</v>
      </c>
      <c r="Y9" s="18" t="n">
        <v>20</v>
      </c>
    </row>
    <row r="10">
      <c r="A10" s="17" t="inlineStr">
        <is>
          <t>Marketing Spend (EUR)</t>
        </is>
      </c>
      <c r="B10" s="18" t="n">
        <v>50</v>
      </c>
      <c r="C10" s="18" t="n">
        <v>50</v>
      </c>
      <c r="D10" s="18" t="n">
        <v>100</v>
      </c>
      <c r="E10" s="18" t="n">
        <v>200</v>
      </c>
      <c r="F10" s="18" t="n">
        <v>400</v>
      </c>
      <c r="G10" s="18" t="n">
        <v>600</v>
      </c>
      <c r="H10" s="18" t="n">
        <v>800</v>
      </c>
      <c r="I10" s="18" t="n">
        <v>800</v>
      </c>
      <c r="J10" s="18" t="n">
        <v>1000</v>
      </c>
      <c r="K10" s="18" t="n">
        <v>1200</v>
      </c>
      <c r="L10" s="18" t="n">
        <v>1400</v>
      </c>
      <c r="M10" s="18" t="n">
        <v>1400</v>
      </c>
      <c r="N10" s="18" t="n">
        <v>1800</v>
      </c>
      <c r="O10" s="18" t="n">
        <v>1800</v>
      </c>
      <c r="P10" s="18" t="n">
        <v>2000</v>
      </c>
      <c r="Q10" s="18" t="n">
        <v>2000</v>
      </c>
      <c r="R10" s="18" t="n">
        <v>2200</v>
      </c>
      <c r="S10" s="18" t="n">
        <v>2200</v>
      </c>
      <c r="T10" s="18" t="n">
        <v>2500</v>
      </c>
      <c r="U10" s="18" t="n">
        <v>2500</v>
      </c>
      <c r="V10" s="18" t="n">
        <v>2800</v>
      </c>
      <c r="W10" s="18" t="n">
        <v>2800</v>
      </c>
      <c r="X10" s="18" t="n">
        <v>3000</v>
      </c>
      <c r="Y10" s="18" t="n">
        <v>3000</v>
      </c>
    </row>
    <row r="11">
      <c r="A11" s="17" t="inlineStr">
        <is>
          <t>KSK-Eligible Freelancer Spend</t>
        </is>
      </c>
      <c r="B11" s="18" t="n">
        <v>500</v>
      </c>
      <c r="C11" s="18" t="n">
        <v>500</v>
      </c>
      <c r="D11" s="18" t="n">
        <v>500</v>
      </c>
      <c r="E11" s="18" t="n">
        <v>500</v>
      </c>
      <c r="F11" s="18" t="n">
        <v>800</v>
      </c>
      <c r="G11" s="18" t="n">
        <v>800</v>
      </c>
      <c r="H11" s="18" t="n">
        <v>800</v>
      </c>
      <c r="I11" s="18" t="n">
        <v>800</v>
      </c>
      <c r="J11" s="18" t="n">
        <v>800</v>
      </c>
      <c r="K11" s="18" t="n">
        <v>800</v>
      </c>
      <c r="L11" s="18" t="n">
        <v>800</v>
      </c>
      <c r="M11" s="18" t="n">
        <v>800</v>
      </c>
      <c r="N11" s="18" t="n">
        <v>800</v>
      </c>
      <c r="O11" s="18" t="n">
        <v>800</v>
      </c>
      <c r="P11" s="18" t="n">
        <v>800</v>
      </c>
      <c r="Q11" s="18" t="n">
        <v>800</v>
      </c>
      <c r="R11" s="18" t="n">
        <v>800</v>
      </c>
      <c r="S11" s="18" t="n">
        <v>800</v>
      </c>
      <c r="T11" s="18" t="n">
        <v>800</v>
      </c>
      <c r="U11" s="18" t="n">
        <v>800</v>
      </c>
      <c r="V11" s="18" t="n">
        <v>800</v>
      </c>
      <c r="W11" s="18" t="n">
        <v>800</v>
      </c>
      <c r="X11" s="18" t="n">
        <v>800</v>
      </c>
      <c r="Y11" s="18" t="n">
        <v>800</v>
      </c>
    </row>
    <row r="12">
      <c r="A12" s="5" t="inlineStr">
        <is>
          <t>New Doctors (delta)</t>
        </is>
      </c>
      <c r="B12" s="5" t="n">
        <v>0</v>
      </c>
      <c r="C12" s="24">
        <f>MAX(0,C9-B9)</f>
        <v/>
      </c>
      <c r="D12" s="24">
        <f>MAX(0,D9-C9)</f>
        <v/>
      </c>
      <c r="E12" s="24">
        <f>MAX(0,E9-D9)</f>
        <v/>
      </c>
      <c r="F12" s="24">
        <f>MAX(0,F9-E9)</f>
        <v/>
      </c>
      <c r="G12" s="24">
        <f>MAX(0,G9-F9)</f>
        <v/>
      </c>
      <c r="H12" s="24">
        <f>MAX(0,H9-G9)</f>
        <v/>
      </c>
      <c r="I12" s="24">
        <f>MAX(0,I9-H9)</f>
        <v/>
      </c>
      <c r="J12" s="24">
        <f>MAX(0,J9-I9)</f>
        <v/>
      </c>
      <c r="K12" s="24">
        <f>MAX(0,K9-J9)</f>
        <v/>
      </c>
      <c r="L12" s="24">
        <f>MAX(0,L9-K9)</f>
        <v/>
      </c>
      <c r="M12" s="24">
        <f>MAX(0,M9-L9)</f>
        <v/>
      </c>
      <c r="N12" s="24">
        <f>MAX(0,N9-M9)</f>
        <v/>
      </c>
      <c r="O12" s="24">
        <f>MAX(0,O9-N9)</f>
        <v/>
      </c>
      <c r="P12" s="24">
        <f>MAX(0,P9-O9)</f>
        <v/>
      </c>
      <c r="Q12" s="24">
        <f>MAX(0,Q9-P9)</f>
        <v/>
      </c>
      <c r="R12" s="24">
        <f>MAX(0,R9-Q9)</f>
        <v/>
      </c>
      <c r="S12" s="24">
        <f>MAX(0,S9-R9)</f>
        <v/>
      </c>
      <c r="T12" s="24">
        <f>MAX(0,T9-S9)</f>
        <v/>
      </c>
      <c r="U12" s="24">
        <f>MAX(0,U9-T9)</f>
        <v/>
      </c>
      <c r="V12" s="24">
        <f>MAX(0,V9-U9)</f>
        <v/>
      </c>
      <c r="W12" s="24">
        <f>MAX(0,W9-V9)</f>
        <v/>
      </c>
      <c r="X12" s="24">
        <f>MAX(0,X9-W9)</f>
        <v/>
      </c>
      <c r="Y12" s="24">
        <f>MAX(0,Y9-X9)</f>
        <v/>
      </c>
    </row>
    <row r="14">
      <c r="A14" s="9" t="inlineStr">
        <is>
          <t>SUBSCRIBER MODEL</t>
        </is>
      </c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</row>
    <row r="15">
      <c r="A15" s="5" t="inlineStr">
        <is>
          <t>New Subs Rate</t>
        </is>
      </c>
      <c r="B15" s="24">
        <f>IF(1&lt;=3,Assumptions!B14,IF(1&lt;=6,Assumptions!B15,IF(1&lt;=9,Assumptions!B16,IF(1&lt;=12,Assumptions!B17,IF(1&lt;=18,Assumptions!B18,Assumptions!B19)))))</f>
        <v/>
      </c>
      <c r="C15" s="24">
        <f>IF(2&lt;=3,Assumptions!B14,IF(2&lt;=6,Assumptions!B15,IF(2&lt;=9,Assumptions!B16,IF(2&lt;=12,Assumptions!B17,IF(2&lt;=18,Assumptions!B18,Assumptions!B19)))))</f>
        <v/>
      </c>
      <c r="D15" s="24">
        <f>IF(3&lt;=3,Assumptions!B14,IF(3&lt;=6,Assumptions!B15,IF(3&lt;=9,Assumptions!B16,IF(3&lt;=12,Assumptions!B17,IF(3&lt;=18,Assumptions!B18,Assumptions!B19)))))</f>
        <v/>
      </c>
      <c r="E15" s="24">
        <f>IF(4&lt;=3,Assumptions!B14,IF(4&lt;=6,Assumptions!B15,IF(4&lt;=9,Assumptions!B16,IF(4&lt;=12,Assumptions!B17,IF(4&lt;=18,Assumptions!B18,Assumptions!B19)))))</f>
        <v/>
      </c>
      <c r="F15" s="24">
        <f>IF(5&lt;=3,Assumptions!B14,IF(5&lt;=6,Assumptions!B15,IF(5&lt;=9,Assumptions!B16,IF(5&lt;=12,Assumptions!B17,IF(5&lt;=18,Assumptions!B18,Assumptions!B19)))))</f>
        <v/>
      </c>
      <c r="G15" s="24">
        <f>IF(6&lt;=3,Assumptions!B14,IF(6&lt;=6,Assumptions!B15,IF(6&lt;=9,Assumptions!B16,IF(6&lt;=12,Assumptions!B17,IF(6&lt;=18,Assumptions!B18,Assumptions!B19)))))</f>
        <v/>
      </c>
      <c r="H15" s="24">
        <f>IF(7&lt;=3,Assumptions!B14,IF(7&lt;=6,Assumptions!B15,IF(7&lt;=9,Assumptions!B16,IF(7&lt;=12,Assumptions!B17,IF(7&lt;=18,Assumptions!B18,Assumptions!B19)))))</f>
        <v/>
      </c>
      <c r="I15" s="24">
        <f>IF(8&lt;=3,Assumptions!B14,IF(8&lt;=6,Assumptions!B15,IF(8&lt;=9,Assumptions!B16,IF(8&lt;=12,Assumptions!B17,IF(8&lt;=18,Assumptions!B18,Assumptions!B19)))))</f>
        <v/>
      </c>
      <c r="J15" s="24">
        <f>IF(9&lt;=3,Assumptions!B14,IF(9&lt;=6,Assumptions!B15,IF(9&lt;=9,Assumptions!B16,IF(9&lt;=12,Assumptions!B17,IF(9&lt;=18,Assumptions!B18,Assumptions!B19)))))</f>
        <v/>
      </c>
      <c r="K15" s="24">
        <f>IF(10&lt;=3,Assumptions!B14,IF(10&lt;=6,Assumptions!B15,IF(10&lt;=9,Assumptions!B16,IF(10&lt;=12,Assumptions!B17,IF(10&lt;=18,Assumptions!B18,Assumptions!B19)))))</f>
        <v/>
      </c>
      <c r="L15" s="24">
        <f>IF(11&lt;=3,Assumptions!B14,IF(11&lt;=6,Assumptions!B15,IF(11&lt;=9,Assumptions!B16,IF(11&lt;=12,Assumptions!B17,IF(11&lt;=18,Assumptions!B18,Assumptions!B19)))))</f>
        <v/>
      </c>
      <c r="M15" s="24">
        <f>IF(12&lt;=3,Assumptions!B14,IF(12&lt;=6,Assumptions!B15,IF(12&lt;=9,Assumptions!B16,IF(12&lt;=12,Assumptions!B17,IF(12&lt;=18,Assumptions!B18,Assumptions!B19)))))</f>
        <v/>
      </c>
      <c r="N15" s="24">
        <f>IF(13&lt;=3,Assumptions!B14,IF(13&lt;=6,Assumptions!B15,IF(13&lt;=9,Assumptions!B16,IF(13&lt;=12,Assumptions!B17,IF(13&lt;=18,Assumptions!B18,Assumptions!B19)))))</f>
        <v/>
      </c>
      <c r="O15" s="24">
        <f>IF(14&lt;=3,Assumptions!B14,IF(14&lt;=6,Assumptions!B15,IF(14&lt;=9,Assumptions!B16,IF(14&lt;=12,Assumptions!B17,IF(14&lt;=18,Assumptions!B18,Assumptions!B19)))))</f>
        <v/>
      </c>
      <c r="P15" s="24">
        <f>IF(15&lt;=3,Assumptions!B14,IF(15&lt;=6,Assumptions!B15,IF(15&lt;=9,Assumptions!B16,IF(15&lt;=12,Assumptions!B17,IF(15&lt;=18,Assumptions!B18,Assumptions!B19)))))</f>
        <v/>
      </c>
      <c r="Q15" s="24">
        <f>IF(16&lt;=3,Assumptions!B14,IF(16&lt;=6,Assumptions!B15,IF(16&lt;=9,Assumptions!B16,IF(16&lt;=12,Assumptions!B17,IF(16&lt;=18,Assumptions!B18,Assumptions!B19)))))</f>
        <v/>
      </c>
      <c r="R15" s="24">
        <f>IF(17&lt;=3,Assumptions!B14,IF(17&lt;=6,Assumptions!B15,IF(17&lt;=9,Assumptions!B16,IF(17&lt;=12,Assumptions!B17,IF(17&lt;=18,Assumptions!B18,Assumptions!B19)))))</f>
        <v/>
      </c>
      <c r="S15" s="24">
        <f>IF(18&lt;=3,Assumptions!B14,IF(18&lt;=6,Assumptions!B15,IF(18&lt;=9,Assumptions!B16,IF(18&lt;=12,Assumptions!B17,IF(18&lt;=18,Assumptions!B18,Assumptions!B19)))))</f>
        <v/>
      </c>
      <c r="T15" s="24">
        <f>IF(19&lt;=3,Assumptions!B14,IF(19&lt;=6,Assumptions!B15,IF(19&lt;=9,Assumptions!B16,IF(19&lt;=12,Assumptions!B17,IF(19&lt;=18,Assumptions!B18,Assumptions!B19)))))</f>
        <v/>
      </c>
      <c r="U15" s="24">
        <f>IF(20&lt;=3,Assumptions!B14,IF(20&lt;=6,Assumptions!B15,IF(20&lt;=9,Assumptions!B16,IF(20&lt;=12,Assumptions!B17,IF(20&lt;=18,Assumptions!B18,Assumptions!B19)))))</f>
        <v/>
      </c>
      <c r="V15" s="24">
        <f>IF(21&lt;=3,Assumptions!B14,IF(21&lt;=6,Assumptions!B15,IF(21&lt;=9,Assumptions!B16,IF(21&lt;=12,Assumptions!B17,IF(21&lt;=18,Assumptions!B18,Assumptions!B19)))))</f>
        <v/>
      </c>
      <c r="W15" s="24">
        <f>IF(22&lt;=3,Assumptions!B14,IF(22&lt;=6,Assumptions!B15,IF(22&lt;=9,Assumptions!B16,IF(22&lt;=12,Assumptions!B17,IF(22&lt;=18,Assumptions!B18,Assumptions!B19)))))</f>
        <v/>
      </c>
      <c r="X15" s="24">
        <f>IF(23&lt;=3,Assumptions!B14,IF(23&lt;=6,Assumptions!B15,IF(23&lt;=9,Assumptions!B16,IF(23&lt;=12,Assumptions!B17,IF(23&lt;=18,Assumptions!B18,Assumptions!B19)))))</f>
        <v/>
      </c>
      <c r="Y15" s="24">
        <f>IF(24&lt;=3,Assumptions!B14,IF(24&lt;=6,Assumptions!B15,IF(24&lt;=9,Assumptions!B16,IF(24&lt;=12,Assumptions!B17,IF(24&lt;=18,Assumptions!B18,Assumptions!B19)))))</f>
        <v/>
      </c>
    </row>
    <row r="16">
      <c r="A16" s="5" t="inlineStr">
        <is>
          <t>Churned Subs</t>
        </is>
      </c>
      <c r="B16" t="n">
        <v>0</v>
      </c>
      <c r="C16" s="24">
        <f>ROUND(B17*Assumptions!B8,0)</f>
        <v/>
      </c>
      <c r="D16" s="24">
        <f>ROUND(C17*Assumptions!B8,0)</f>
        <v/>
      </c>
      <c r="E16" s="24">
        <f>ROUND(D17*Assumptions!B8,0)</f>
        <v/>
      </c>
      <c r="F16" s="24">
        <f>ROUND(E17*Assumptions!B8,0)</f>
        <v/>
      </c>
      <c r="G16" s="24">
        <f>ROUND(F17*Assumptions!B8,0)</f>
        <v/>
      </c>
      <c r="H16" s="24">
        <f>ROUND(G17*Assumptions!B8,0)</f>
        <v/>
      </c>
      <c r="I16" s="24">
        <f>ROUND(H17*Assumptions!B8,0)</f>
        <v/>
      </c>
      <c r="J16" s="24">
        <f>ROUND(I17*Assumptions!B8,0)</f>
        <v/>
      </c>
      <c r="K16" s="24">
        <f>ROUND(J17*Assumptions!B8,0)</f>
        <v/>
      </c>
      <c r="L16" s="24">
        <f>ROUND(K17*Assumptions!B8,0)</f>
        <v/>
      </c>
      <c r="M16" s="24">
        <f>ROUND(L17*Assumptions!B8,0)</f>
        <v/>
      </c>
      <c r="N16" s="24">
        <f>ROUND(M17*Assumptions!B8,0)</f>
        <v/>
      </c>
      <c r="O16" s="24">
        <f>ROUND(N17*Assumptions!B8,0)</f>
        <v/>
      </c>
      <c r="P16" s="24">
        <f>ROUND(O17*Assumptions!B8,0)</f>
        <v/>
      </c>
      <c r="Q16" s="24">
        <f>ROUND(P17*Assumptions!B8,0)</f>
        <v/>
      </c>
      <c r="R16" s="24">
        <f>ROUND(Q17*Assumptions!B8,0)</f>
        <v/>
      </c>
      <c r="S16" s="24">
        <f>ROUND(R17*Assumptions!B8,0)</f>
        <v/>
      </c>
      <c r="T16" s="24">
        <f>ROUND(S17*Assumptions!B8,0)</f>
        <v/>
      </c>
      <c r="U16" s="24">
        <f>ROUND(T17*Assumptions!B8,0)</f>
        <v/>
      </c>
      <c r="V16" s="24">
        <f>ROUND(U17*Assumptions!B8,0)</f>
        <v/>
      </c>
      <c r="W16" s="24">
        <f>ROUND(V17*Assumptions!B8,0)</f>
        <v/>
      </c>
      <c r="X16" s="24">
        <f>ROUND(W17*Assumptions!B8,0)</f>
        <v/>
      </c>
      <c r="Y16" s="24">
        <f>ROUND(X17*Assumptions!B8,0)</f>
        <v/>
      </c>
    </row>
    <row r="17">
      <c r="A17" s="38" t="inlineStr">
        <is>
          <t>Total Subscribers</t>
        </is>
      </c>
      <c r="B17" s="39">
        <f>MAX(0,B15-B16)</f>
        <v/>
      </c>
      <c r="C17" s="39">
        <f>MAX(0,B17-C16+C15)</f>
        <v/>
      </c>
      <c r="D17" s="39">
        <f>MAX(0,C17-D16+D15)</f>
        <v/>
      </c>
      <c r="E17" s="39">
        <f>MAX(0,D17-E16+E15)</f>
        <v/>
      </c>
      <c r="F17" s="39">
        <f>MAX(0,E17-F16+F15)</f>
        <v/>
      </c>
      <c r="G17" s="39">
        <f>MAX(0,F17-G16+G15)</f>
        <v/>
      </c>
      <c r="H17" s="39">
        <f>MAX(0,G17-H16+H15)</f>
        <v/>
      </c>
      <c r="I17" s="39">
        <f>MAX(0,H17-I16+I15)</f>
        <v/>
      </c>
      <c r="J17" s="39">
        <f>MAX(0,I17-J16+J15)</f>
        <v/>
      </c>
      <c r="K17" s="39">
        <f>MAX(0,J17-K16+K15)</f>
        <v/>
      </c>
      <c r="L17" s="39">
        <f>MAX(0,K17-L16+L15)</f>
        <v/>
      </c>
      <c r="M17" s="39">
        <f>MAX(0,L17-M16+M15)</f>
        <v/>
      </c>
      <c r="N17" s="39">
        <f>MAX(0,M17-N16+N15)</f>
        <v/>
      </c>
      <c r="O17" s="39">
        <f>MAX(0,N17-O16+O15)</f>
        <v/>
      </c>
      <c r="P17" s="39">
        <f>MAX(0,O17-P16+P15)</f>
        <v/>
      </c>
      <c r="Q17" s="39">
        <f>MAX(0,P17-Q16+Q15)</f>
        <v/>
      </c>
      <c r="R17" s="39">
        <f>MAX(0,Q17-R16+R15)</f>
        <v/>
      </c>
      <c r="S17" s="39">
        <f>MAX(0,R17-S16+S15)</f>
        <v/>
      </c>
      <c r="T17" s="39">
        <f>MAX(0,S17-T16+T15)</f>
        <v/>
      </c>
      <c r="U17" s="39">
        <f>MAX(0,T17-U16+U15)</f>
        <v/>
      </c>
      <c r="V17" s="39">
        <f>MAX(0,U17-V16+V15)</f>
        <v/>
      </c>
      <c r="W17" s="39">
        <f>MAX(0,V17-W16+W15)</f>
        <v/>
      </c>
      <c r="X17" s="39">
        <f>MAX(0,W17-X16+X15)</f>
        <v/>
      </c>
      <c r="Y17" s="39">
        <f>MAX(0,X17-Y16+Y15)</f>
        <v/>
      </c>
    </row>
    <row r="18">
      <c r="A18" s="5" t="inlineStr">
        <is>
          <t xml:space="preserve">  Core Subs (52%)</t>
        </is>
      </c>
      <c r="B18" s="24">
        <f>ROUND(B17*Assumptions!B9,0)</f>
        <v/>
      </c>
      <c r="C18" s="24">
        <f>ROUND(C17*Assumptions!B9,0)</f>
        <v/>
      </c>
      <c r="D18" s="24">
        <f>ROUND(D17*Assumptions!B9,0)</f>
        <v/>
      </c>
      <c r="E18" s="24">
        <f>ROUND(E17*Assumptions!B9,0)</f>
        <v/>
      </c>
      <c r="F18" s="24">
        <f>ROUND(F17*Assumptions!B9,0)</f>
        <v/>
      </c>
      <c r="G18" s="24">
        <f>ROUND(G17*Assumptions!B9,0)</f>
        <v/>
      </c>
      <c r="H18" s="24">
        <f>ROUND(H17*Assumptions!B9,0)</f>
        <v/>
      </c>
      <c r="I18" s="24">
        <f>ROUND(I17*Assumptions!B9,0)</f>
        <v/>
      </c>
      <c r="J18" s="24">
        <f>ROUND(J17*Assumptions!B9,0)</f>
        <v/>
      </c>
      <c r="K18" s="24">
        <f>ROUND(K17*Assumptions!B9,0)</f>
        <v/>
      </c>
      <c r="L18" s="24">
        <f>ROUND(L17*Assumptions!B9,0)</f>
        <v/>
      </c>
      <c r="M18" s="24">
        <f>ROUND(M17*Assumptions!B9,0)</f>
        <v/>
      </c>
      <c r="N18" s="24">
        <f>ROUND(N17*Assumptions!B9,0)</f>
        <v/>
      </c>
      <c r="O18" s="24">
        <f>ROUND(O17*Assumptions!B9,0)</f>
        <v/>
      </c>
      <c r="P18" s="24">
        <f>ROUND(P17*Assumptions!B9,0)</f>
        <v/>
      </c>
      <c r="Q18" s="24">
        <f>ROUND(Q17*Assumptions!B9,0)</f>
        <v/>
      </c>
      <c r="R18" s="24">
        <f>ROUND(R17*Assumptions!B9,0)</f>
        <v/>
      </c>
      <c r="S18" s="24">
        <f>ROUND(S17*Assumptions!B9,0)</f>
        <v/>
      </c>
      <c r="T18" s="24">
        <f>ROUND(T17*Assumptions!B9,0)</f>
        <v/>
      </c>
      <c r="U18" s="24">
        <f>ROUND(U17*Assumptions!B9,0)</f>
        <v/>
      </c>
      <c r="V18" s="24">
        <f>ROUND(V17*Assumptions!B9,0)</f>
        <v/>
      </c>
      <c r="W18" s="24">
        <f>ROUND(W17*Assumptions!B9,0)</f>
        <v/>
      </c>
      <c r="X18" s="24">
        <f>ROUND(X17*Assumptions!B9,0)</f>
        <v/>
      </c>
      <c r="Y18" s="24">
        <f>ROUND(Y17*Assumptions!B9,0)</f>
        <v/>
      </c>
    </row>
    <row r="19">
      <c r="A19" s="5" t="inlineStr">
        <is>
          <t xml:space="preserve">  Pro Subs (38%)</t>
        </is>
      </c>
      <c r="B19" s="24">
        <f>ROUND(B17*Assumptions!B10,0)</f>
        <v/>
      </c>
      <c r="C19" s="24">
        <f>ROUND(C17*Assumptions!B10,0)</f>
        <v/>
      </c>
      <c r="D19" s="24">
        <f>ROUND(D17*Assumptions!B10,0)</f>
        <v/>
      </c>
      <c r="E19" s="24">
        <f>ROUND(E17*Assumptions!B10,0)</f>
        <v/>
      </c>
      <c r="F19" s="24">
        <f>ROUND(F17*Assumptions!B10,0)</f>
        <v/>
      </c>
      <c r="G19" s="24">
        <f>ROUND(G17*Assumptions!B10,0)</f>
        <v/>
      </c>
      <c r="H19" s="24">
        <f>ROUND(H17*Assumptions!B10,0)</f>
        <v/>
      </c>
      <c r="I19" s="24">
        <f>ROUND(I17*Assumptions!B10,0)</f>
        <v/>
      </c>
      <c r="J19" s="24">
        <f>ROUND(J17*Assumptions!B10,0)</f>
        <v/>
      </c>
      <c r="K19" s="24">
        <f>ROUND(K17*Assumptions!B10,0)</f>
        <v/>
      </c>
      <c r="L19" s="24">
        <f>ROUND(L17*Assumptions!B10,0)</f>
        <v/>
      </c>
      <c r="M19" s="24">
        <f>ROUND(M17*Assumptions!B10,0)</f>
        <v/>
      </c>
      <c r="N19" s="24">
        <f>ROUND(N17*Assumptions!B10,0)</f>
        <v/>
      </c>
      <c r="O19" s="24">
        <f>ROUND(O17*Assumptions!B10,0)</f>
        <v/>
      </c>
      <c r="P19" s="24">
        <f>ROUND(P17*Assumptions!B10,0)</f>
        <v/>
      </c>
      <c r="Q19" s="24">
        <f>ROUND(Q17*Assumptions!B10,0)</f>
        <v/>
      </c>
      <c r="R19" s="24">
        <f>ROUND(R17*Assumptions!B10,0)</f>
        <v/>
      </c>
      <c r="S19" s="24">
        <f>ROUND(S17*Assumptions!B10,0)</f>
        <v/>
      </c>
      <c r="T19" s="24">
        <f>ROUND(T17*Assumptions!B10,0)</f>
        <v/>
      </c>
      <c r="U19" s="24">
        <f>ROUND(U17*Assumptions!B10,0)</f>
        <v/>
      </c>
      <c r="V19" s="24">
        <f>ROUND(V17*Assumptions!B10,0)</f>
        <v/>
      </c>
      <c r="W19" s="24">
        <f>ROUND(W17*Assumptions!B10,0)</f>
        <v/>
      </c>
      <c r="X19" s="24">
        <f>ROUND(X17*Assumptions!B10,0)</f>
        <v/>
      </c>
      <c r="Y19" s="24">
        <f>ROUND(Y17*Assumptions!B10,0)</f>
        <v/>
      </c>
    </row>
    <row r="20">
      <c r="A20" s="5" t="inlineStr">
        <is>
          <t xml:space="preserve">  Premium Subs (10%)</t>
        </is>
      </c>
      <c r="B20" s="24">
        <f>MAX(0,B17-B18-B19)</f>
        <v/>
      </c>
      <c r="C20" s="24">
        <f>MAX(0,C17-C18-C19)</f>
        <v/>
      </c>
      <c r="D20" s="24">
        <f>MAX(0,D17-D18-D19)</f>
        <v/>
      </c>
      <c r="E20" s="24">
        <f>MAX(0,E17-E18-E19)</f>
        <v/>
      </c>
      <c r="F20" s="24">
        <f>MAX(0,F17-F18-F19)</f>
        <v/>
      </c>
      <c r="G20" s="24">
        <f>MAX(0,G17-G18-G19)</f>
        <v/>
      </c>
      <c r="H20" s="24">
        <f>MAX(0,H17-H18-H19)</f>
        <v/>
      </c>
      <c r="I20" s="24">
        <f>MAX(0,I17-I18-I19)</f>
        <v/>
      </c>
      <c r="J20" s="24">
        <f>MAX(0,J17-J18-J19)</f>
        <v/>
      </c>
      <c r="K20" s="24">
        <f>MAX(0,K17-K18-K19)</f>
        <v/>
      </c>
      <c r="L20" s="24">
        <f>MAX(0,L17-L18-L19)</f>
        <v/>
      </c>
      <c r="M20" s="24">
        <f>MAX(0,M17-M18-M19)</f>
        <v/>
      </c>
      <c r="N20" s="24">
        <f>MAX(0,N17-N18-N19)</f>
        <v/>
      </c>
      <c r="O20" s="24">
        <f>MAX(0,O17-O18-O19)</f>
        <v/>
      </c>
      <c r="P20" s="24">
        <f>MAX(0,P17-P18-P19)</f>
        <v/>
      </c>
      <c r="Q20" s="24">
        <f>MAX(0,Q17-Q18-Q19)</f>
        <v/>
      </c>
      <c r="R20" s="24">
        <f>MAX(0,R17-R18-R19)</f>
        <v/>
      </c>
      <c r="S20" s="24">
        <f>MAX(0,S17-S18-S19)</f>
        <v/>
      </c>
      <c r="T20" s="24">
        <f>MAX(0,T17-T18-T19)</f>
        <v/>
      </c>
      <c r="U20" s="24">
        <f>MAX(0,U17-U18-U19)</f>
        <v/>
      </c>
      <c r="V20" s="24">
        <f>MAX(0,V17-V18-V19)</f>
        <v/>
      </c>
      <c r="W20" s="24">
        <f>MAX(0,W17-W18-W19)</f>
        <v/>
      </c>
      <c r="X20" s="24">
        <f>MAX(0,X17-X18-X19)</f>
        <v/>
      </c>
      <c r="Y20" s="24">
        <f>MAX(0,Y17-Y18-Y19)</f>
        <v/>
      </c>
    </row>
    <row r="21">
      <c r="A21" s="5" t="inlineStr">
        <is>
          <t>CGM Active Users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3</v>
      </c>
      <c r="I21" s="6" t="n">
        <v>6</v>
      </c>
      <c r="J21" s="6" t="n">
        <v>9</v>
      </c>
      <c r="K21" s="6" t="n">
        <v>12</v>
      </c>
      <c r="L21" s="6" t="n">
        <v>15</v>
      </c>
      <c r="M21" s="6" t="n">
        <v>18</v>
      </c>
      <c r="N21" s="6" t="n">
        <v>21</v>
      </c>
      <c r="O21" s="6" t="n">
        <v>24</v>
      </c>
      <c r="P21" s="6" t="n">
        <v>27</v>
      </c>
      <c r="Q21" s="6" t="n">
        <v>30</v>
      </c>
      <c r="R21" s="6" t="n">
        <v>32</v>
      </c>
      <c r="S21" s="6" t="n">
        <v>34</v>
      </c>
      <c r="T21" s="6" t="n">
        <v>36</v>
      </c>
      <c r="U21" s="6" t="n">
        <v>38</v>
      </c>
      <c r="V21" s="6" t="n">
        <v>39</v>
      </c>
      <c r="W21" s="6" t="n">
        <v>40</v>
      </c>
      <c r="X21" s="6" t="n">
        <v>41</v>
      </c>
      <c r="Y21" s="6" t="n">
        <v>42</v>
      </c>
    </row>
    <row r="22">
      <c r="A22" s="5" t="inlineStr">
        <is>
          <t>B2B Clients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1</v>
      </c>
      <c r="K22" s="6" t="n">
        <v>1</v>
      </c>
      <c r="L22" s="6" t="n">
        <v>1</v>
      </c>
      <c r="M22" s="6" t="n">
        <v>2</v>
      </c>
      <c r="N22" s="6" t="n">
        <v>2</v>
      </c>
      <c r="O22" s="6" t="n">
        <v>2</v>
      </c>
      <c r="P22" s="6" t="n">
        <v>2</v>
      </c>
      <c r="Q22" s="6" t="n">
        <v>2</v>
      </c>
      <c r="R22" s="6" t="n">
        <v>2</v>
      </c>
      <c r="S22" s="6" t="n">
        <v>3</v>
      </c>
      <c r="T22" s="6" t="n">
        <v>3</v>
      </c>
      <c r="U22" s="6" t="n">
        <v>3</v>
      </c>
      <c r="V22" s="6" t="n">
        <v>3</v>
      </c>
      <c r="W22" s="6" t="n">
        <v>3</v>
      </c>
      <c r="X22" s="6" t="n">
        <v>3</v>
      </c>
      <c r="Y22" s="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6B4A"/>
    <outlinePr summaryBelow="1" summaryRight="1"/>
    <pageSetUpPr/>
  </sheetPr>
  <dimension ref="A1:Z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alche — Cash Flow Statement v3</t>
        </is>
      </c>
    </row>
    <row r="2">
      <c r="A2" s="2" t="inlineStr">
        <is>
          <t>P5: EUR ~218K gap between P&amp;L profit and actual cash. This sheet closes that gap.</t>
        </is>
      </c>
    </row>
    <row r="3">
      <c r="A3" s="4" t="inlineStr">
        <is>
          <t>Cash Flow (EUR)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M13</t>
        </is>
      </c>
      <c r="O3" s="3" t="inlineStr">
        <is>
          <t>M14</t>
        </is>
      </c>
      <c r="P3" s="3" t="inlineStr">
        <is>
          <t>M15</t>
        </is>
      </c>
      <c r="Q3" s="3" t="inlineStr">
        <is>
          <t>M16</t>
        </is>
      </c>
      <c r="R3" s="3" t="inlineStr">
        <is>
          <t>M17</t>
        </is>
      </c>
      <c r="S3" s="3" t="inlineStr">
        <is>
          <t>M18</t>
        </is>
      </c>
      <c r="T3" s="3" t="inlineStr">
        <is>
          <t>M19</t>
        </is>
      </c>
      <c r="U3" s="3" t="inlineStr">
        <is>
          <t>M20</t>
        </is>
      </c>
      <c r="V3" s="3" t="inlineStr">
        <is>
          <t>M21</t>
        </is>
      </c>
      <c r="W3" s="3" t="inlineStr">
        <is>
          <t>M22</t>
        </is>
      </c>
      <c r="X3" s="3" t="inlineStr">
        <is>
          <t>M23</t>
        </is>
      </c>
      <c r="Y3" s="3" t="inlineStr">
        <is>
          <t>M24</t>
        </is>
      </c>
      <c r="Z3" s="3" t="inlineStr">
        <is>
          <t>TOTAL</t>
        </is>
      </c>
    </row>
    <row r="4">
      <c r="A4" s="4" t="inlineStr">
        <is>
          <t>OPERATING ACTIVITIES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7" t="inlineStr">
        <is>
          <t xml:space="preserve">  EBITDA</t>
        </is>
      </c>
      <c r="B5" s="18">
        <f>'P&amp;L'!B133</f>
        <v/>
      </c>
      <c r="C5" s="18">
        <f>'P&amp;L'!C133</f>
        <v/>
      </c>
      <c r="D5" s="18">
        <f>'P&amp;L'!D133</f>
        <v/>
      </c>
      <c r="E5" s="18">
        <f>'P&amp;L'!E133</f>
        <v/>
      </c>
      <c r="F5" s="18">
        <f>'P&amp;L'!F133</f>
        <v/>
      </c>
      <c r="G5" s="18">
        <f>'P&amp;L'!G133</f>
        <v/>
      </c>
      <c r="H5" s="18">
        <f>'P&amp;L'!H133</f>
        <v/>
      </c>
      <c r="I5" s="18">
        <f>'P&amp;L'!I133</f>
        <v/>
      </c>
      <c r="J5" s="18">
        <f>'P&amp;L'!J133</f>
        <v/>
      </c>
      <c r="K5" s="18">
        <f>'P&amp;L'!K133</f>
        <v/>
      </c>
      <c r="L5" s="18">
        <f>'P&amp;L'!L133</f>
        <v/>
      </c>
      <c r="M5" s="18">
        <f>'P&amp;L'!M133</f>
        <v/>
      </c>
      <c r="N5" s="18">
        <f>'P&amp;L'!N133</f>
        <v/>
      </c>
      <c r="O5" s="18">
        <f>'P&amp;L'!O133</f>
        <v/>
      </c>
      <c r="P5" s="18">
        <f>'P&amp;L'!P133</f>
        <v/>
      </c>
      <c r="Q5" s="18">
        <f>'P&amp;L'!Q133</f>
        <v/>
      </c>
      <c r="R5" s="18">
        <f>'P&amp;L'!R133</f>
        <v/>
      </c>
      <c r="S5" s="18">
        <f>'P&amp;L'!S133</f>
        <v/>
      </c>
      <c r="T5" s="18">
        <f>'P&amp;L'!T133</f>
        <v/>
      </c>
      <c r="U5" s="18">
        <f>'P&amp;L'!U133</f>
        <v/>
      </c>
      <c r="V5" s="18">
        <f>'P&amp;L'!V133</f>
        <v/>
      </c>
      <c r="W5" s="18">
        <f>'P&amp;L'!W133</f>
        <v/>
      </c>
      <c r="X5" s="18">
        <f>'P&amp;L'!X133</f>
        <v/>
      </c>
      <c r="Y5" s="18">
        <f>'P&amp;L'!Y133</f>
        <v/>
      </c>
      <c r="Z5" s="18">
        <f>SUM(B5:Y5)</f>
        <v/>
      </c>
    </row>
    <row r="6">
      <c r="A6" s="17" t="inlineStr">
        <is>
          <t xml:space="preserve">  - Tax Provision</t>
        </is>
      </c>
      <c r="B6" s="18">
        <f>-'P&amp;L'!B166</f>
        <v/>
      </c>
      <c r="C6" s="18">
        <f>-'P&amp;L'!C166</f>
        <v/>
      </c>
      <c r="D6" s="18">
        <f>-'P&amp;L'!D166</f>
        <v/>
      </c>
      <c r="E6" s="18">
        <f>-'P&amp;L'!E166</f>
        <v/>
      </c>
      <c r="F6" s="18">
        <f>-'P&amp;L'!F166</f>
        <v/>
      </c>
      <c r="G6" s="18">
        <f>-'P&amp;L'!G166</f>
        <v/>
      </c>
      <c r="H6" s="18">
        <f>-'P&amp;L'!H166</f>
        <v/>
      </c>
      <c r="I6" s="18">
        <f>-'P&amp;L'!I166</f>
        <v/>
      </c>
      <c r="J6" s="18">
        <f>-'P&amp;L'!J166</f>
        <v/>
      </c>
      <c r="K6" s="18">
        <f>-'P&amp;L'!K166</f>
        <v/>
      </c>
      <c r="L6" s="18">
        <f>-'P&amp;L'!L166</f>
        <v/>
      </c>
      <c r="M6" s="18">
        <f>-'P&amp;L'!M166</f>
        <v/>
      </c>
      <c r="N6" s="18">
        <f>-'P&amp;L'!N166</f>
        <v/>
      </c>
      <c r="O6" s="18">
        <f>-'P&amp;L'!O166</f>
        <v/>
      </c>
      <c r="P6" s="18">
        <f>-'P&amp;L'!P166</f>
        <v/>
      </c>
      <c r="Q6" s="18">
        <f>-'P&amp;L'!Q166</f>
        <v/>
      </c>
      <c r="R6" s="18">
        <f>-'P&amp;L'!R166</f>
        <v/>
      </c>
      <c r="S6" s="18">
        <f>-'P&amp;L'!S166</f>
        <v/>
      </c>
      <c r="T6" s="18">
        <f>-'P&amp;L'!T166</f>
        <v/>
      </c>
      <c r="U6" s="18">
        <f>-'P&amp;L'!U166</f>
        <v/>
      </c>
      <c r="V6" s="18">
        <f>-'P&amp;L'!V166</f>
        <v/>
      </c>
      <c r="W6" s="18">
        <f>-'P&amp;L'!W166</f>
        <v/>
      </c>
      <c r="X6" s="18">
        <f>-'P&amp;L'!X166</f>
        <v/>
      </c>
      <c r="Y6" s="18">
        <f>-'P&amp;L'!Y166</f>
        <v/>
      </c>
      <c r="Z6" s="18">
        <f>SUM(B6:Y6)</f>
        <v/>
      </c>
    </row>
    <row r="7">
      <c r="A7" s="17" t="inlineStr">
        <is>
          <t xml:space="preserve">  - Working Capital Build (inventory)</t>
        </is>
      </c>
      <c r="B7" s="18">
        <f>-ROUND('Growth Curves'!B4*Assumptions!B23*2,0)</f>
        <v/>
      </c>
      <c r="C7" s="18">
        <f>-ROUND(MAX(0,('Growth Curves'!C4-'Growth Curves'!B4)*Assumptions!B23*2),0)</f>
        <v/>
      </c>
      <c r="D7" s="18">
        <f>-ROUND(MAX(0,('Growth Curves'!D4-'Growth Curves'!C4)*Assumptions!B23*2),0)</f>
        <v/>
      </c>
      <c r="E7" s="18">
        <f>-ROUND(MAX(0,('Growth Curves'!E4-'Growth Curves'!D4)*Assumptions!B23*2),0)</f>
        <v/>
      </c>
      <c r="F7" s="18">
        <f>-ROUND(MAX(0,('Growth Curves'!F4-'Growth Curves'!E4)*Assumptions!B23*2),0)</f>
        <v/>
      </c>
      <c r="G7" s="18">
        <f>-ROUND(MAX(0,('Growth Curves'!G4-'Growth Curves'!F4)*Assumptions!B23*2),0)</f>
        <v/>
      </c>
      <c r="H7" s="18">
        <f>-ROUND(MAX(0,('Growth Curves'!H4-'Growth Curves'!G4)*Assumptions!B23*2),0)</f>
        <v/>
      </c>
      <c r="I7" s="18">
        <f>-ROUND(MAX(0,('Growth Curves'!I4-'Growth Curves'!H4)*Assumptions!B23*2),0)</f>
        <v/>
      </c>
      <c r="J7" s="18">
        <f>-ROUND(MAX(0,('Growth Curves'!J4-'Growth Curves'!I4)*Assumptions!B23*2),0)</f>
        <v/>
      </c>
      <c r="K7" s="18">
        <f>-ROUND(MAX(0,('Growth Curves'!K4-'Growth Curves'!J4)*Assumptions!B23*2),0)</f>
        <v/>
      </c>
      <c r="L7" s="18">
        <f>-ROUND(MAX(0,('Growth Curves'!L4-'Growth Curves'!K4)*Assumptions!B23*2),0)</f>
        <v/>
      </c>
      <c r="M7" s="18">
        <f>-ROUND(MAX(0,('Growth Curves'!M4-'Growth Curves'!L4)*Assumptions!B23*2),0)</f>
        <v/>
      </c>
      <c r="N7" s="18">
        <f>-ROUND(MAX(0,('Growth Curves'!N4-'Growth Curves'!M4)*Assumptions!B23*2),0)</f>
        <v/>
      </c>
      <c r="O7" s="18">
        <f>-ROUND(MAX(0,('Growth Curves'!O4-'Growth Curves'!N4)*Assumptions!B23*2),0)</f>
        <v/>
      </c>
      <c r="P7" s="18">
        <f>-ROUND(MAX(0,('Growth Curves'!P4-'Growth Curves'!O4)*Assumptions!B23*2),0)</f>
        <v/>
      </c>
      <c r="Q7" s="18">
        <f>-ROUND(MAX(0,('Growth Curves'!Q4-'Growth Curves'!P4)*Assumptions!B23*2),0)</f>
        <v/>
      </c>
      <c r="R7" s="18">
        <f>-ROUND(MAX(0,('Growth Curves'!R4-'Growth Curves'!Q4)*Assumptions!B23*2),0)</f>
        <v/>
      </c>
      <c r="S7" s="18">
        <f>-ROUND(MAX(0,('Growth Curves'!S4-'Growth Curves'!R4)*Assumptions!B23*2),0)</f>
        <v/>
      </c>
      <c r="T7" s="18">
        <f>-ROUND(MAX(0,('Growth Curves'!T4-'Growth Curves'!S4)*Assumptions!B23*2),0)</f>
        <v/>
      </c>
      <c r="U7" s="18">
        <f>-ROUND(MAX(0,('Growth Curves'!U4-'Growth Curves'!T4)*Assumptions!B23*2),0)</f>
        <v/>
      </c>
      <c r="V7" s="18">
        <f>-ROUND(MAX(0,('Growth Curves'!V4-'Growth Curves'!U4)*Assumptions!B23*2),0)</f>
        <v/>
      </c>
      <c r="W7" s="18">
        <f>-ROUND(MAX(0,('Growth Curves'!W4-'Growth Curves'!V4)*Assumptions!B23*2),0)</f>
        <v/>
      </c>
      <c r="X7" s="18">
        <f>-ROUND(MAX(0,('Growth Curves'!X4-'Growth Curves'!W4)*Assumptions!B23*2),0)</f>
        <v/>
      </c>
      <c r="Y7" s="18">
        <f>-ROUND(MAX(0,('Growth Curves'!Y4-'Growth Curves'!X4)*Assumptions!B23*2),0)</f>
        <v/>
      </c>
      <c r="Z7" s="18">
        <f>SUM(B7:Y7)</f>
        <v/>
      </c>
    </row>
    <row r="8">
      <c r="A8" s="40" t="inlineStr">
        <is>
          <t xml:space="preserve">  Operating Cash Flow</t>
        </is>
      </c>
      <c r="B8" s="41">
        <f>B5+B6+B7</f>
        <v/>
      </c>
      <c r="C8" s="41">
        <f>C5+C6+C7</f>
        <v/>
      </c>
      <c r="D8" s="41">
        <f>D5+D6+D7</f>
        <v/>
      </c>
      <c r="E8" s="41">
        <f>E5+E6+E7</f>
        <v/>
      </c>
      <c r="F8" s="41">
        <f>F5+F6+F7</f>
        <v/>
      </c>
      <c r="G8" s="41">
        <f>G5+G6+G7</f>
        <v/>
      </c>
      <c r="H8" s="41">
        <f>H5+H6+H7</f>
        <v/>
      </c>
      <c r="I8" s="41">
        <f>I5+I6+I7</f>
        <v/>
      </c>
      <c r="J8" s="41">
        <f>J5+J6+J7</f>
        <v/>
      </c>
      <c r="K8" s="41">
        <f>K5+K6+K7</f>
        <v/>
      </c>
      <c r="L8" s="41">
        <f>L5+L6+L7</f>
        <v/>
      </c>
      <c r="M8" s="41">
        <f>M5+M6+M7</f>
        <v/>
      </c>
      <c r="N8" s="41">
        <f>N5+N6+N7</f>
        <v/>
      </c>
      <c r="O8" s="41">
        <f>O5+O6+O7</f>
        <v/>
      </c>
      <c r="P8" s="41">
        <f>P5+P6+P7</f>
        <v/>
      </c>
      <c r="Q8" s="41">
        <f>Q5+Q6+Q7</f>
        <v/>
      </c>
      <c r="R8" s="41">
        <f>R5+R6+R7</f>
        <v/>
      </c>
      <c r="S8" s="41">
        <f>S5+S6+S7</f>
        <v/>
      </c>
      <c r="T8" s="41">
        <f>T5+T6+T7</f>
        <v/>
      </c>
      <c r="U8" s="41">
        <f>U5+U6+U7</f>
        <v/>
      </c>
      <c r="V8" s="41">
        <f>V5+V6+V7</f>
        <v/>
      </c>
      <c r="W8" s="41">
        <f>W5+W6+W7</f>
        <v/>
      </c>
      <c r="X8" s="41">
        <f>X5+X6+X7</f>
        <v/>
      </c>
      <c r="Y8" s="41">
        <f>Y5+Y6+Y7</f>
        <v/>
      </c>
      <c r="Z8" s="41">
        <f>SUM(B8:Y8)</f>
        <v/>
      </c>
    </row>
    <row r="10">
      <c r="A10" s="4" t="inlineStr">
        <is>
          <t>INVESTING ACTIVITIES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7" t="inlineStr">
        <is>
          <t xml:space="preserve">  CapEx</t>
        </is>
      </c>
      <c r="B11" s="18">
        <f>-'P&amp;L'!B160</f>
        <v/>
      </c>
      <c r="C11" s="18">
        <f>-'P&amp;L'!C160</f>
        <v/>
      </c>
      <c r="D11" s="18">
        <f>-'P&amp;L'!D160</f>
        <v/>
      </c>
      <c r="E11" s="18">
        <f>-'P&amp;L'!E160</f>
        <v/>
      </c>
      <c r="F11" s="18">
        <f>-'P&amp;L'!F160</f>
        <v/>
      </c>
      <c r="G11" s="18">
        <f>-'P&amp;L'!G160</f>
        <v/>
      </c>
      <c r="H11" s="18">
        <f>-'P&amp;L'!H160</f>
        <v/>
      </c>
      <c r="I11" s="18">
        <f>-'P&amp;L'!I160</f>
        <v/>
      </c>
      <c r="J11" s="18">
        <f>-'P&amp;L'!J160</f>
        <v/>
      </c>
      <c r="K11" s="18">
        <f>-'P&amp;L'!K160</f>
        <v/>
      </c>
      <c r="L11" s="18">
        <f>-'P&amp;L'!L160</f>
        <v/>
      </c>
      <c r="M11" s="18">
        <f>-'P&amp;L'!M160</f>
        <v/>
      </c>
      <c r="N11" s="18">
        <f>-'P&amp;L'!N160</f>
        <v/>
      </c>
      <c r="O11" s="18">
        <f>-'P&amp;L'!O160</f>
        <v/>
      </c>
      <c r="P11" s="18">
        <f>-'P&amp;L'!P160</f>
        <v/>
      </c>
      <c r="Q11" s="18">
        <f>-'P&amp;L'!Q160</f>
        <v/>
      </c>
      <c r="R11" s="18">
        <f>-'P&amp;L'!R160</f>
        <v/>
      </c>
      <c r="S11" s="18">
        <f>-'P&amp;L'!S160</f>
        <v/>
      </c>
      <c r="T11" s="18">
        <f>-'P&amp;L'!T160</f>
        <v/>
      </c>
      <c r="U11" s="18">
        <f>-'P&amp;L'!U160</f>
        <v/>
      </c>
      <c r="V11" s="18">
        <f>-'P&amp;L'!V160</f>
        <v/>
      </c>
      <c r="W11" s="18">
        <f>-'P&amp;L'!W160</f>
        <v/>
      </c>
      <c r="X11" s="18">
        <f>-'P&amp;L'!X160</f>
        <v/>
      </c>
      <c r="Y11" s="18">
        <f>-'P&amp;L'!Y160</f>
        <v/>
      </c>
      <c r="Z11" s="18">
        <f>SUM(B11:Y11)</f>
        <v/>
      </c>
    </row>
    <row r="12">
      <c r="A12" s="17" t="inlineStr">
        <is>
          <t xml:space="preserve">  Kaution — Security Deposit (M3)</t>
        </is>
      </c>
      <c r="B12" s="18">
        <f>IF(1=3,-Assumptions!B118,0)</f>
        <v/>
      </c>
      <c r="C12" s="18">
        <f>IF(2=3,-Assumptions!B118,0)</f>
        <v/>
      </c>
      <c r="D12" s="18">
        <f>IF(3=3,-Assumptions!B118,0)</f>
        <v/>
      </c>
      <c r="E12" s="18">
        <f>IF(4=3,-Assumptions!B118,0)</f>
        <v/>
      </c>
      <c r="F12" s="18">
        <f>IF(5=3,-Assumptions!B118,0)</f>
        <v/>
      </c>
      <c r="G12" s="18">
        <f>IF(6=3,-Assumptions!B118,0)</f>
        <v/>
      </c>
      <c r="H12" s="18">
        <f>IF(7=3,-Assumptions!B118,0)</f>
        <v/>
      </c>
      <c r="I12" s="18">
        <f>IF(8=3,-Assumptions!B118,0)</f>
        <v/>
      </c>
      <c r="J12" s="18">
        <f>IF(9=3,-Assumptions!B118,0)</f>
        <v/>
      </c>
      <c r="K12" s="18">
        <f>IF(10=3,-Assumptions!B118,0)</f>
        <v/>
      </c>
      <c r="L12" s="18">
        <f>IF(11=3,-Assumptions!B118,0)</f>
        <v/>
      </c>
      <c r="M12" s="18">
        <f>IF(12=3,-Assumptions!B118,0)</f>
        <v/>
      </c>
      <c r="N12" s="18">
        <f>IF(13=3,-Assumptions!B118,0)</f>
        <v/>
      </c>
      <c r="O12" s="18">
        <f>IF(14=3,-Assumptions!B118,0)</f>
        <v/>
      </c>
      <c r="P12" s="18">
        <f>IF(15=3,-Assumptions!B118,0)</f>
        <v/>
      </c>
      <c r="Q12" s="18">
        <f>IF(16=3,-Assumptions!B118,0)</f>
        <v/>
      </c>
      <c r="R12" s="18">
        <f>IF(17=3,-Assumptions!B118,0)</f>
        <v/>
      </c>
      <c r="S12" s="18">
        <f>IF(18=3,-Assumptions!B118,0)</f>
        <v/>
      </c>
      <c r="T12" s="18">
        <f>IF(19=3,-Assumptions!B118,0)</f>
        <v/>
      </c>
      <c r="U12" s="18">
        <f>IF(20=3,-Assumptions!B118,0)</f>
        <v/>
      </c>
      <c r="V12" s="18">
        <f>IF(21=3,-Assumptions!B118,0)</f>
        <v/>
      </c>
      <c r="W12" s="18">
        <f>IF(22=3,-Assumptions!B118,0)</f>
        <v/>
      </c>
      <c r="X12" s="18">
        <f>IF(23=3,-Assumptions!B118,0)</f>
        <v/>
      </c>
      <c r="Y12" s="18">
        <f>IF(24=3,-Assumptions!B118,0)</f>
        <v/>
      </c>
      <c r="Z12" s="18">
        <f>SUM(B12:Y12)</f>
        <v/>
      </c>
    </row>
    <row r="13">
      <c r="A13" s="17" t="inlineStr">
        <is>
          <t xml:space="preserve">  Space Security Deposit M3 (EX-07: balance sheet, refundable)</t>
        </is>
      </c>
      <c r="B13" s="18">
        <f>IF(1=3,-Assumptions!B139,0)</f>
        <v/>
      </c>
      <c r="C13" s="18">
        <f>IF(2=3,-Assumptions!B139,0)</f>
        <v/>
      </c>
      <c r="D13" s="18">
        <f>IF(3=3,-Assumptions!B139,0)</f>
        <v/>
      </c>
      <c r="E13" s="18">
        <f>IF(4=3,-Assumptions!B139,0)</f>
        <v/>
      </c>
      <c r="F13" s="18">
        <f>IF(5=3,-Assumptions!B139,0)</f>
        <v/>
      </c>
      <c r="G13" s="18">
        <f>IF(6=3,-Assumptions!B139,0)</f>
        <v/>
      </c>
      <c r="H13" s="18">
        <f>IF(7=3,-Assumptions!B139,0)</f>
        <v/>
      </c>
      <c r="I13" s="18">
        <f>IF(8=3,-Assumptions!B139,0)</f>
        <v/>
      </c>
      <c r="J13" s="18">
        <f>IF(9=3,-Assumptions!B139,0)</f>
        <v/>
      </c>
      <c r="K13" s="18">
        <f>IF(10=3,-Assumptions!B139,0)</f>
        <v/>
      </c>
      <c r="L13" s="18">
        <f>IF(11=3,-Assumptions!B139,0)</f>
        <v/>
      </c>
      <c r="M13" s="18">
        <f>IF(12=3,-Assumptions!B139,0)</f>
        <v/>
      </c>
      <c r="N13" s="18">
        <f>IF(13=3,-Assumptions!B139,0)</f>
        <v/>
      </c>
      <c r="O13" s="18">
        <f>IF(14=3,-Assumptions!B139,0)</f>
        <v/>
      </c>
      <c r="P13" s="18">
        <f>IF(15=3,-Assumptions!B139,0)</f>
        <v/>
      </c>
      <c r="Q13" s="18">
        <f>IF(16=3,-Assumptions!B139,0)</f>
        <v/>
      </c>
      <c r="R13" s="18">
        <f>IF(17=3,-Assumptions!B139,0)</f>
        <v/>
      </c>
      <c r="S13" s="18">
        <f>IF(18=3,-Assumptions!B139,0)</f>
        <v/>
      </c>
      <c r="T13" s="18">
        <f>IF(19=3,-Assumptions!B139,0)</f>
        <v/>
      </c>
      <c r="U13" s="18">
        <f>IF(20=3,-Assumptions!B139,0)</f>
        <v/>
      </c>
      <c r="V13" s="18">
        <f>IF(21=3,-Assumptions!B139,0)</f>
        <v/>
      </c>
      <c r="W13" s="18">
        <f>IF(22=3,-Assumptions!B139,0)</f>
        <v/>
      </c>
      <c r="X13" s="18">
        <f>IF(23=3,-Assumptions!B139,0)</f>
        <v/>
      </c>
      <c r="Y13" s="18">
        <f>IF(24=3,-Assumptions!B139,0)</f>
        <v/>
      </c>
      <c r="Z13" s="18">
        <f>SUM(B13:Y13)</f>
        <v/>
      </c>
    </row>
    <row r="14">
      <c r="A14" s="40" t="inlineStr">
        <is>
          <t xml:space="preserve">  Investing Cash Flow</t>
        </is>
      </c>
      <c r="B14" s="41">
        <f>B11+B12+B13</f>
        <v/>
      </c>
      <c r="C14" s="41">
        <f>C11+C12+C13</f>
        <v/>
      </c>
      <c r="D14" s="41">
        <f>D11+D12+D13</f>
        <v/>
      </c>
      <c r="E14" s="41">
        <f>E11+E12+E13</f>
        <v/>
      </c>
      <c r="F14" s="41">
        <f>F11+F12+F13</f>
        <v/>
      </c>
      <c r="G14" s="41">
        <f>G11+G12+G13</f>
        <v/>
      </c>
      <c r="H14" s="41">
        <f>H11+H12+H13</f>
        <v/>
      </c>
      <c r="I14" s="41">
        <f>I11+I12+I13</f>
        <v/>
      </c>
      <c r="J14" s="41">
        <f>J11+J12+J13</f>
        <v/>
      </c>
      <c r="K14" s="41">
        <f>K11+K12+K13</f>
        <v/>
      </c>
      <c r="L14" s="41">
        <f>L11+L12+L13</f>
        <v/>
      </c>
      <c r="M14" s="41">
        <f>M11+M12+M13</f>
        <v/>
      </c>
      <c r="N14" s="41">
        <f>N11+N12+N13</f>
        <v/>
      </c>
      <c r="O14" s="41">
        <f>O11+O12+O13</f>
        <v/>
      </c>
      <c r="P14" s="41">
        <f>P11+P12+P13</f>
        <v/>
      </c>
      <c r="Q14" s="41">
        <f>Q11+Q12+Q13</f>
        <v/>
      </c>
      <c r="R14" s="41">
        <f>R11+R12+R13</f>
        <v/>
      </c>
      <c r="S14" s="41">
        <f>S11+S12+S13</f>
        <v/>
      </c>
      <c r="T14" s="41">
        <f>T11+T12+T13</f>
        <v/>
      </c>
      <c r="U14" s="41">
        <f>U11+U12+U13</f>
        <v/>
      </c>
      <c r="V14" s="41">
        <f>V11+V12+V13</f>
        <v/>
      </c>
      <c r="W14" s="41">
        <f>W11+W12+W13</f>
        <v/>
      </c>
      <c r="X14" s="41">
        <f>X11+X12+X13</f>
        <v/>
      </c>
      <c r="Y14" s="41">
        <f>Y11+Y12+Y13</f>
        <v/>
      </c>
      <c r="Z14" s="40">
        <f>SUM(B14:Y14)</f>
        <v/>
      </c>
    </row>
    <row r="16">
      <c r="A16" s="4" t="inlineStr">
        <is>
          <t>FINANCING ACTIVITIES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17" t="inlineStr">
        <is>
          <t xml:space="preserve">  Pre-Seed Funding (M1)</t>
        </is>
      </c>
      <c r="B17" s="18">
        <f>IF(1=1,Assumptions!B142,0)</f>
        <v/>
      </c>
      <c r="C17" s="18">
        <f>IF(2=1,Assumptions!B142,0)</f>
        <v/>
      </c>
      <c r="D17" s="18">
        <f>IF(3=1,Assumptions!B142,0)</f>
        <v/>
      </c>
      <c r="E17" s="18">
        <f>IF(4=1,Assumptions!B142,0)</f>
        <v/>
      </c>
      <c r="F17" s="18">
        <f>IF(5=1,Assumptions!B142,0)</f>
        <v/>
      </c>
      <c r="G17" s="18">
        <f>IF(6=1,Assumptions!B142,0)</f>
        <v/>
      </c>
      <c r="H17" s="18">
        <f>IF(7=1,Assumptions!B142,0)</f>
        <v/>
      </c>
      <c r="I17" s="18">
        <f>IF(8=1,Assumptions!B142,0)</f>
        <v/>
      </c>
      <c r="J17" s="18">
        <f>IF(9=1,Assumptions!B142,0)</f>
        <v/>
      </c>
      <c r="K17" s="18">
        <f>IF(10=1,Assumptions!B142,0)</f>
        <v/>
      </c>
      <c r="L17" s="18">
        <f>IF(11=1,Assumptions!B142,0)</f>
        <v/>
      </c>
      <c r="M17" s="18">
        <f>IF(12=1,Assumptions!B142,0)</f>
        <v/>
      </c>
      <c r="N17" s="18">
        <f>IF(13=1,Assumptions!B142,0)</f>
        <v/>
      </c>
      <c r="O17" s="18">
        <f>IF(14=1,Assumptions!B142,0)</f>
        <v/>
      </c>
      <c r="P17" s="18">
        <f>IF(15=1,Assumptions!B142,0)</f>
        <v/>
      </c>
      <c r="Q17" s="18">
        <f>IF(16=1,Assumptions!B142,0)</f>
        <v/>
      </c>
      <c r="R17" s="18">
        <f>IF(17=1,Assumptions!B142,0)</f>
        <v/>
      </c>
      <c r="S17" s="18">
        <f>IF(18=1,Assumptions!B142,0)</f>
        <v/>
      </c>
      <c r="T17" s="18">
        <f>IF(19=1,Assumptions!B142,0)</f>
        <v/>
      </c>
      <c r="U17" s="18">
        <f>IF(20=1,Assumptions!B142,0)</f>
        <v/>
      </c>
      <c r="V17" s="18">
        <f>IF(21=1,Assumptions!B142,0)</f>
        <v/>
      </c>
      <c r="W17" s="18">
        <f>IF(22=1,Assumptions!B142,0)</f>
        <v/>
      </c>
      <c r="X17" s="18">
        <f>IF(23=1,Assumptions!B142,0)</f>
        <v/>
      </c>
      <c r="Y17" s="18">
        <f>IF(24=1,Assumptions!B142,0)</f>
        <v/>
      </c>
      <c r="Z17" s="18">
        <f>SUM(B17:Y17)</f>
        <v/>
      </c>
    </row>
    <row r="18">
      <c r="A18" s="40" t="inlineStr">
        <is>
          <t xml:space="preserve">  Financing Cash Flow</t>
        </is>
      </c>
      <c r="B18" s="41">
        <f>B17</f>
        <v/>
      </c>
      <c r="C18" s="41">
        <f>C17</f>
        <v/>
      </c>
      <c r="D18" s="41">
        <f>D17</f>
        <v/>
      </c>
      <c r="E18" s="41">
        <f>E17</f>
        <v/>
      </c>
      <c r="F18" s="41">
        <f>F17</f>
        <v/>
      </c>
      <c r="G18" s="41">
        <f>G17</f>
        <v/>
      </c>
      <c r="H18" s="41">
        <f>H17</f>
        <v/>
      </c>
      <c r="I18" s="41">
        <f>I17</f>
        <v/>
      </c>
      <c r="J18" s="41">
        <f>J17</f>
        <v/>
      </c>
      <c r="K18" s="41">
        <f>K17</f>
        <v/>
      </c>
      <c r="L18" s="41">
        <f>L17</f>
        <v/>
      </c>
      <c r="M18" s="41">
        <f>M17</f>
        <v/>
      </c>
      <c r="N18" s="41">
        <f>N17</f>
        <v/>
      </c>
      <c r="O18" s="41">
        <f>O17</f>
        <v/>
      </c>
      <c r="P18" s="41">
        <f>P17</f>
        <v/>
      </c>
      <c r="Q18" s="41">
        <f>Q17</f>
        <v/>
      </c>
      <c r="R18" s="41">
        <f>R17</f>
        <v/>
      </c>
      <c r="S18" s="41">
        <f>S17</f>
        <v/>
      </c>
      <c r="T18" s="41">
        <f>T17</f>
        <v/>
      </c>
      <c r="U18" s="41">
        <f>U17</f>
        <v/>
      </c>
      <c r="V18" s="41">
        <f>V17</f>
        <v/>
      </c>
      <c r="W18" s="41">
        <f>W17</f>
        <v/>
      </c>
      <c r="X18" s="41">
        <f>X17</f>
        <v/>
      </c>
      <c r="Y18" s="41">
        <f>Y17</f>
        <v/>
      </c>
      <c r="Z18" s="40">
        <f>SUM(B18:Y18)</f>
        <v/>
      </c>
    </row>
    <row r="20">
      <c r="A20" s="19" t="inlineStr">
        <is>
          <t>NET CASH FLOW</t>
        </is>
      </c>
      <c r="B20" s="20">
        <f>B8+B14+B18</f>
        <v/>
      </c>
      <c r="C20" s="20">
        <f>C8+C14+C18</f>
        <v/>
      </c>
      <c r="D20" s="20">
        <f>D8+D14+D18</f>
        <v/>
      </c>
      <c r="E20" s="20">
        <f>E8+E14+E18</f>
        <v/>
      </c>
      <c r="F20" s="20">
        <f>F8+F14+F18</f>
        <v/>
      </c>
      <c r="G20" s="20">
        <f>G8+G14+G18</f>
        <v/>
      </c>
      <c r="H20" s="20">
        <f>H8+H14+H18</f>
        <v/>
      </c>
      <c r="I20" s="20">
        <f>I8+I14+I18</f>
        <v/>
      </c>
      <c r="J20" s="20">
        <f>J8+J14+J18</f>
        <v/>
      </c>
      <c r="K20" s="20">
        <f>K8+K14+K18</f>
        <v/>
      </c>
      <c r="L20" s="20">
        <f>L8+L14+L18</f>
        <v/>
      </c>
      <c r="M20" s="20">
        <f>M8+M14+M18</f>
        <v/>
      </c>
      <c r="N20" s="20">
        <f>N8+N14+N18</f>
        <v/>
      </c>
      <c r="O20" s="20">
        <f>O8+O14+O18</f>
        <v/>
      </c>
      <c r="P20" s="20">
        <f>P8+P14+P18</f>
        <v/>
      </c>
      <c r="Q20" s="20">
        <f>Q8+Q14+Q18</f>
        <v/>
      </c>
      <c r="R20" s="20">
        <f>R8+R14+R18</f>
        <v/>
      </c>
      <c r="S20" s="20">
        <f>S8+S14+S18</f>
        <v/>
      </c>
      <c r="T20" s="20">
        <f>T8+T14+T18</f>
        <v/>
      </c>
      <c r="U20" s="20">
        <f>U8+U14+U18</f>
        <v/>
      </c>
      <c r="V20" s="20">
        <f>V8+V14+V18</f>
        <v/>
      </c>
      <c r="W20" s="20">
        <f>W8+W14+W18</f>
        <v/>
      </c>
      <c r="X20" s="20">
        <f>X8+X14+X18</f>
        <v/>
      </c>
      <c r="Y20" s="20">
        <f>Y8+Y14+Y18</f>
        <v/>
      </c>
      <c r="Z20" s="20">
        <f>SUM(B20:Y20)</f>
        <v/>
      </c>
    </row>
    <row r="21">
      <c r="A21" s="19" t="inlineStr">
        <is>
          <t>CUMULATIVE CASH BALANCE</t>
        </is>
      </c>
      <c r="B21" s="20">
        <f>B20</f>
        <v/>
      </c>
      <c r="C21" s="20">
        <f>B21+C20</f>
        <v/>
      </c>
      <c r="D21" s="20">
        <f>C21+D20</f>
        <v/>
      </c>
      <c r="E21" s="20">
        <f>D21+E20</f>
        <v/>
      </c>
      <c r="F21" s="20">
        <f>E21+F20</f>
        <v/>
      </c>
      <c r="G21" s="20">
        <f>F21+G20</f>
        <v/>
      </c>
      <c r="H21" s="20">
        <f>G21+H20</f>
        <v/>
      </c>
      <c r="I21" s="20">
        <f>H21+I20</f>
        <v/>
      </c>
      <c r="J21" s="20">
        <f>I21+J20</f>
        <v/>
      </c>
      <c r="K21" s="20">
        <f>J21+K20</f>
        <v/>
      </c>
      <c r="L21" s="20">
        <f>K21+L20</f>
        <v/>
      </c>
      <c r="M21" s="20">
        <f>L21+M20</f>
        <v/>
      </c>
      <c r="N21" s="20">
        <f>M21+N20</f>
        <v/>
      </c>
      <c r="O21" s="20">
        <f>N21+O20</f>
        <v/>
      </c>
      <c r="P21" s="20">
        <f>O21+P20</f>
        <v/>
      </c>
      <c r="Q21" s="20">
        <f>P21+Q20</f>
        <v/>
      </c>
      <c r="R21" s="20">
        <f>Q21+R20</f>
        <v/>
      </c>
      <c r="S21" s="20">
        <f>R21+S20</f>
        <v/>
      </c>
      <c r="T21" s="20">
        <f>S21+T20</f>
        <v/>
      </c>
      <c r="U21" s="20">
        <f>T21+U20</f>
        <v/>
      </c>
      <c r="V21" s="20">
        <f>U21+V20</f>
        <v/>
      </c>
      <c r="W21" s="20">
        <f>V21+W20</f>
        <v/>
      </c>
      <c r="X21" s="20">
        <f>W21+X20</f>
        <v/>
      </c>
      <c r="Y21" s="20">
        <f>X21+Y20</f>
        <v/>
      </c>
      <c r="Z21" s="42">
        <f>Y21</f>
        <v/>
      </c>
    </row>
    <row r="23">
      <c r="A23" s="4" t="inlineStr">
        <is>
          <t>P&amp;L vs CASH GAP ANALYSIS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5" t="inlineStr">
        <is>
          <t xml:space="preserve">  P&amp;L Cumulative Cash</t>
        </is>
      </c>
      <c r="B24" s="6">
        <f>'P&amp;L'!B169</f>
        <v/>
      </c>
      <c r="C24" s="6">
        <f>'P&amp;L'!C169</f>
        <v/>
      </c>
      <c r="D24" s="6">
        <f>'P&amp;L'!D169</f>
        <v/>
      </c>
      <c r="E24" s="6">
        <f>'P&amp;L'!E169</f>
        <v/>
      </c>
      <c r="F24" s="6">
        <f>'P&amp;L'!F169</f>
        <v/>
      </c>
      <c r="G24" s="6">
        <f>'P&amp;L'!G169</f>
        <v/>
      </c>
      <c r="H24" s="6">
        <f>'P&amp;L'!H169</f>
        <v/>
      </c>
      <c r="I24" s="6">
        <f>'P&amp;L'!I169</f>
        <v/>
      </c>
      <c r="J24" s="6">
        <f>'P&amp;L'!J169</f>
        <v/>
      </c>
      <c r="K24" s="6">
        <f>'P&amp;L'!K169</f>
        <v/>
      </c>
      <c r="L24" s="6">
        <f>'P&amp;L'!L169</f>
        <v/>
      </c>
      <c r="M24" s="6">
        <f>'P&amp;L'!M169</f>
        <v/>
      </c>
      <c r="N24" s="6">
        <f>'P&amp;L'!N169</f>
        <v/>
      </c>
      <c r="O24" s="6">
        <f>'P&amp;L'!O169</f>
        <v/>
      </c>
      <c r="P24" s="6">
        <f>'P&amp;L'!P169</f>
        <v/>
      </c>
      <c r="Q24" s="6">
        <f>'P&amp;L'!Q169</f>
        <v/>
      </c>
      <c r="R24" s="6">
        <f>'P&amp;L'!R169</f>
        <v/>
      </c>
      <c r="S24" s="6">
        <f>'P&amp;L'!S169</f>
        <v/>
      </c>
      <c r="T24" s="6">
        <f>'P&amp;L'!T169</f>
        <v/>
      </c>
      <c r="U24" s="6">
        <f>'P&amp;L'!U169</f>
        <v/>
      </c>
      <c r="V24" s="6">
        <f>'P&amp;L'!V169</f>
        <v/>
      </c>
      <c r="W24" s="6">
        <f>'P&amp;L'!W169</f>
        <v/>
      </c>
      <c r="X24" s="6">
        <f>'P&amp;L'!X169</f>
        <v/>
      </c>
      <c r="Y24" s="6">
        <f>'P&amp;L'!Y169</f>
        <v/>
      </c>
      <c r="Z24" s="6">
        <f>SUM(B24:Y24)</f>
        <v/>
      </c>
    </row>
    <row r="25">
      <c r="A25" s="5" t="inlineStr">
        <is>
          <t xml:space="preserve">  Actual Cash (this sheet)</t>
        </is>
      </c>
      <c r="B25" s="6">
        <f>B21</f>
        <v/>
      </c>
      <c r="C25" s="6">
        <f>C21</f>
        <v/>
      </c>
      <c r="D25" s="6">
        <f>D21</f>
        <v/>
      </c>
      <c r="E25" s="6">
        <f>E21</f>
        <v/>
      </c>
      <c r="F25" s="6">
        <f>F21</f>
        <v/>
      </c>
      <c r="G25" s="6">
        <f>G21</f>
        <v/>
      </c>
      <c r="H25" s="6">
        <f>H21</f>
        <v/>
      </c>
      <c r="I25" s="6">
        <f>I21</f>
        <v/>
      </c>
      <c r="J25" s="6">
        <f>J21</f>
        <v/>
      </c>
      <c r="K25" s="6">
        <f>K21</f>
        <v/>
      </c>
      <c r="L25" s="6">
        <f>L21</f>
        <v/>
      </c>
      <c r="M25" s="6">
        <f>M21</f>
        <v/>
      </c>
      <c r="N25" s="6">
        <f>N21</f>
        <v/>
      </c>
      <c r="O25" s="6">
        <f>O21</f>
        <v/>
      </c>
      <c r="P25" s="6">
        <f>P21</f>
        <v/>
      </c>
      <c r="Q25" s="6">
        <f>Q21</f>
        <v/>
      </c>
      <c r="R25" s="6">
        <f>R21</f>
        <v/>
      </c>
      <c r="S25" s="6">
        <f>S21</f>
        <v/>
      </c>
      <c r="T25" s="6">
        <f>T21</f>
        <v/>
      </c>
      <c r="U25" s="6">
        <f>U21</f>
        <v/>
      </c>
      <c r="V25" s="6">
        <f>V21</f>
        <v/>
      </c>
      <c r="W25" s="6">
        <f>W21</f>
        <v/>
      </c>
      <c r="X25" s="6">
        <f>X21</f>
        <v/>
      </c>
      <c r="Y25" s="6">
        <f>Y21</f>
        <v/>
      </c>
      <c r="Z25" s="6">
        <f>SUM(B25:Y25)</f>
        <v/>
      </c>
    </row>
    <row r="26">
      <c r="A26" s="40" t="inlineStr">
        <is>
          <t xml:space="preserve">  GAP (Working Capital Drag)</t>
        </is>
      </c>
      <c r="B26" s="41">
        <f>B25-B24</f>
        <v/>
      </c>
      <c r="C26" s="41">
        <f>C25-C24</f>
        <v/>
      </c>
      <c r="D26" s="41">
        <f>D25-D24</f>
        <v/>
      </c>
      <c r="E26" s="41">
        <f>E25-E24</f>
        <v/>
      </c>
      <c r="F26" s="41">
        <f>F25-F24</f>
        <v/>
      </c>
      <c r="G26" s="41">
        <f>G25-G24</f>
        <v/>
      </c>
      <c r="H26" s="41">
        <f>H25-H24</f>
        <v/>
      </c>
      <c r="I26" s="41">
        <f>I25-I24</f>
        <v/>
      </c>
      <c r="J26" s="41">
        <f>J25-J24</f>
        <v/>
      </c>
      <c r="K26" s="41">
        <f>K25-K24</f>
        <v/>
      </c>
      <c r="L26" s="41">
        <f>L25-L24</f>
        <v/>
      </c>
      <c r="M26" s="41">
        <f>M25-M24</f>
        <v/>
      </c>
      <c r="N26" s="41">
        <f>N25-N24</f>
        <v/>
      </c>
      <c r="O26" s="41">
        <f>O25-O24</f>
        <v/>
      </c>
      <c r="P26" s="41">
        <f>P25-P24</f>
        <v/>
      </c>
      <c r="Q26" s="41">
        <f>Q25-Q24</f>
        <v/>
      </c>
      <c r="R26" s="41">
        <f>R25-R24</f>
        <v/>
      </c>
      <c r="S26" s="41">
        <f>S25-S24</f>
        <v/>
      </c>
      <c r="T26" s="41">
        <f>T25-T24</f>
        <v/>
      </c>
      <c r="U26" s="41">
        <f>U25-U24</f>
        <v/>
      </c>
      <c r="V26" s="41">
        <f>V25-V24</f>
        <v/>
      </c>
      <c r="W26" s="41">
        <f>W25-W24</f>
        <v/>
      </c>
      <c r="X26" s="41">
        <f>X25-X24</f>
        <v/>
      </c>
      <c r="Y26" s="41">
        <f>Y25-Y24</f>
        <v/>
      </c>
      <c r="Z26" s="41">
        <f>SUM(B26:Y26)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47A8A"/>
    <outlinePr summaryBelow="1" summaryRight="1"/>
    <pageSetUpPr/>
  </sheetPr>
  <dimension ref="A1:Z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alche — Unit Economics Dashboard</t>
        </is>
      </c>
    </row>
    <row r="2">
      <c r="A2" s="2" t="inlineStr">
        <is>
          <t>P1/P5: LTV:CAC, payback period, contribution margin per stream</t>
        </is>
      </c>
    </row>
    <row r="3">
      <c r="A3" s="4" t="inlineStr">
        <is>
          <t>Metric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M13</t>
        </is>
      </c>
      <c r="O3" s="3" t="inlineStr">
        <is>
          <t>M14</t>
        </is>
      </c>
      <c r="P3" s="3" t="inlineStr">
        <is>
          <t>M15</t>
        </is>
      </c>
      <c r="Q3" s="3" t="inlineStr">
        <is>
          <t>M16</t>
        </is>
      </c>
      <c r="R3" s="3" t="inlineStr">
        <is>
          <t>M17</t>
        </is>
      </c>
      <c r="S3" s="3" t="inlineStr">
        <is>
          <t>M18</t>
        </is>
      </c>
      <c r="T3" s="3" t="inlineStr">
        <is>
          <t>M19</t>
        </is>
      </c>
      <c r="U3" s="3" t="inlineStr">
        <is>
          <t>M20</t>
        </is>
      </c>
      <c r="V3" s="3" t="inlineStr">
        <is>
          <t>M21</t>
        </is>
      </c>
      <c r="W3" s="3" t="inlineStr">
        <is>
          <t>M22</t>
        </is>
      </c>
      <c r="X3" s="3" t="inlineStr">
        <is>
          <t>M23</t>
        </is>
      </c>
      <c r="Y3" s="3" t="inlineStr">
        <is>
          <t>M24</t>
        </is>
      </c>
      <c r="Z3" s="4" t="inlineStr">
        <is>
          <t>TOTAL</t>
        </is>
      </c>
    </row>
    <row r="4">
      <c r="A4" s="9" t="inlineStr">
        <is>
          <t>SUBSCRIPTION METRICS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17" t="inlineStr">
        <is>
          <t xml:space="preserve">  Subscription ARPU (EUR/sub/mo)</t>
        </is>
      </c>
      <c r="B5" s="43">
        <f>IF('Growth Curves'!B17&gt;0,ROUND('P&amp;L'!B42/'Growth Curves'!B17,2),0)</f>
        <v/>
      </c>
      <c r="C5" s="43">
        <f>IF('Growth Curves'!C17&gt;0,ROUND('P&amp;L'!C42/'Growth Curves'!C17,2),0)</f>
        <v/>
      </c>
      <c r="D5" s="43">
        <f>IF('Growth Curves'!D17&gt;0,ROUND('P&amp;L'!D42/'Growth Curves'!D17,2),0)</f>
        <v/>
      </c>
      <c r="E5" s="43">
        <f>IF('Growth Curves'!E17&gt;0,ROUND('P&amp;L'!E42/'Growth Curves'!E17,2),0)</f>
        <v/>
      </c>
      <c r="F5" s="43">
        <f>IF('Growth Curves'!F17&gt;0,ROUND('P&amp;L'!F42/'Growth Curves'!F17,2),0)</f>
        <v/>
      </c>
      <c r="G5" s="43">
        <f>IF('Growth Curves'!G17&gt;0,ROUND('P&amp;L'!G42/'Growth Curves'!G17,2),0)</f>
        <v/>
      </c>
      <c r="H5" s="43">
        <f>IF('Growth Curves'!H17&gt;0,ROUND('P&amp;L'!H42/'Growth Curves'!H17,2),0)</f>
        <v/>
      </c>
      <c r="I5" s="43">
        <f>IF('Growth Curves'!I17&gt;0,ROUND('P&amp;L'!I42/'Growth Curves'!I17,2),0)</f>
        <v/>
      </c>
      <c r="J5" s="43">
        <f>IF('Growth Curves'!J17&gt;0,ROUND('P&amp;L'!J42/'Growth Curves'!J17,2),0)</f>
        <v/>
      </c>
      <c r="K5" s="43">
        <f>IF('Growth Curves'!K17&gt;0,ROUND('P&amp;L'!K42/'Growth Curves'!K17,2),0)</f>
        <v/>
      </c>
      <c r="L5" s="43">
        <f>IF('Growth Curves'!L17&gt;0,ROUND('P&amp;L'!L42/'Growth Curves'!L17,2),0)</f>
        <v/>
      </c>
      <c r="M5" s="43">
        <f>IF('Growth Curves'!M17&gt;0,ROUND('P&amp;L'!M42/'Growth Curves'!M17,2),0)</f>
        <v/>
      </c>
      <c r="N5" s="43">
        <f>IF('Growth Curves'!N17&gt;0,ROUND('P&amp;L'!N42/'Growth Curves'!N17,2),0)</f>
        <v/>
      </c>
      <c r="O5" s="43">
        <f>IF('Growth Curves'!O17&gt;0,ROUND('P&amp;L'!O42/'Growth Curves'!O17,2),0)</f>
        <v/>
      </c>
      <c r="P5" s="43">
        <f>IF('Growth Curves'!P17&gt;0,ROUND('P&amp;L'!P42/'Growth Curves'!P17,2),0)</f>
        <v/>
      </c>
      <c r="Q5" s="43">
        <f>IF('Growth Curves'!Q17&gt;0,ROUND('P&amp;L'!Q42/'Growth Curves'!Q17,2),0)</f>
        <v/>
      </c>
      <c r="R5" s="43">
        <f>IF('Growth Curves'!R17&gt;0,ROUND('P&amp;L'!R42/'Growth Curves'!R17,2),0)</f>
        <v/>
      </c>
      <c r="S5" s="43">
        <f>IF('Growth Curves'!S17&gt;0,ROUND('P&amp;L'!S42/'Growth Curves'!S17,2),0)</f>
        <v/>
      </c>
      <c r="T5" s="43">
        <f>IF('Growth Curves'!T17&gt;0,ROUND('P&amp;L'!T42/'Growth Curves'!T17,2),0)</f>
        <v/>
      </c>
      <c r="U5" s="43">
        <f>IF('Growth Curves'!U17&gt;0,ROUND('P&amp;L'!U42/'Growth Curves'!U17,2),0)</f>
        <v/>
      </c>
      <c r="V5" s="43">
        <f>IF('Growth Curves'!V17&gt;0,ROUND('P&amp;L'!V42/'Growth Curves'!V17,2),0)</f>
        <v/>
      </c>
      <c r="W5" s="43">
        <f>IF('Growth Curves'!W17&gt;0,ROUND('P&amp;L'!W42/'Growth Curves'!W17,2),0)</f>
        <v/>
      </c>
      <c r="X5" s="43">
        <f>IF('Growth Curves'!X17&gt;0,ROUND('P&amp;L'!X42/'Growth Curves'!X17,2),0)</f>
        <v/>
      </c>
      <c r="Y5" s="43">
        <f>IF('Growth Curves'!Y17&gt;0,ROUND('P&amp;L'!Y42/'Growth Curves'!Y17,2),0)</f>
        <v/>
      </c>
      <c r="Z5" s="43">
        <f>Y5</f>
        <v/>
      </c>
    </row>
    <row r="6">
      <c r="A6" s="17" t="inlineStr">
        <is>
          <t xml:space="preserve">  Subscription LTV (ARPU / churn)</t>
        </is>
      </c>
      <c r="B6" s="18">
        <f>IF('Growth Curves'!B17&gt;0,ROUND(('P&amp;L'!B42/'Growth Curves'!B17)/Assumptions!B8,0),0)</f>
        <v/>
      </c>
      <c r="C6" s="18">
        <f>IF('Growth Curves'!C17&gt;0,ROUND(('P&amp;L'!C42/'Growth Curves'!C17)/Assumptions!B8,0),0)</f>
        <v/>
      </c>
      <c r="D6" s="18">
        <f>IF('Growth Curves'!D17&gt;0,ROUND(('P&amp;L'!D42/'Growth Curves'!D17)/Assumptions!B8,0),0)</f>
        <v/>
      </c>
      <c r="E6" s="18">
        <f>IF('Growth Curves'!E17&gt;0,ROUND(('P&amp;L'!E42/'Growth Curves'!E17)/Assumptions!B8,0),0)</f>
        <v/>
      </c>
      <c r="F6" s="18">
        <f>IF('Growth Curves'!F17&gt;0,ROUND(('P&amp;L'!F42/'Growth Curves'!F17)/Assumptions!B8,0),0)</f>
        <v/>
      </c>
      <c r="G6" s="18">
        <f>IF('Growth Curves'!G17&gt;0,ROUND(('P&amp;L'!G42/'Growth Curves'!G17)/Assumptions!B8,0),0)</f>
        <v/>
      </c>
      <c r="H6" s="18">
        <f>IF('Growth Curves'!H17&gt;0,ROUND(('P&amp;L'!H42/'Growth Curves'!H17)/Assumptions!B8,0),0)</f>
        <v/>
      </c>
      <c r="I6" s="18">
        <f>IF('Growth Curves'!I17&gt;0,ROUND(('P&amp;L'!I42/'Growth Curves'!I17)/Assumptions!B8,0),0)</f>
        <v/>
      </c>
      <c r="J6" s="18">
        <f>IF('Growth Curves'!J17&gt;0,ROUND(('P&amp;L'!J42/'Growth Curves'!J17)/Assumptions!B8,0),0)</f>
        <v/>
      </c>
      <c r="K6" s="18">
        <f>IF('Growth Curves'!K17&gt;0,ROUND(('P&amp;L'!K42/'Growth Curves'!K17)/Assumptions!B8,0),0)</f>
        <v/>
      </c>
      <c r="L6" s="18">
        <f>IF('Growth Curves'!L17&gt;0,ROUND(('P&amp;L'!L42/'Growth Curves'!L17)/Assumptions!B8,0),0)</f>
        <v/>
      </c>
      <c r="M6" s="18">
        <f>IF('Growth Curves'!M17&gt;0,ROUND(('P&amp;L'!M42/'Growth Curves'!M17)/Assumptions!B8,0),0)</f>
        <v/>
      </c>
      <c r="N6" s="18">
        <f>IF('Growth Curves'!N17&gt;0,ROUND(('P&amp;L'!N42/'Growth Curves'!N17)/Assumptions!B8,0),0)</f>
        <v/>
      </c>
      <c r="O6" s="18">
        <f>IF('Growth Curves'!O17&gt;0,ROUND(('P&amp;L'!O42/'Growth Curves'!O17)/Assumptions!B8,0),0)</f>
        <v/>
      </c>
      <c r="P6" s="18">
        <f>IF('Growth Curves'!P17&gt;0,ROUND(('P&amp;L'!P42/'Growth Curves'!P17)/Assumptions!B8,0),0)</f>
        <v/>
      </c>
      <c r="Q6" s="18">
        <f>IF('Growth Curves'!Q17&gt;0,ROUND(('P&amp;L'!Q42/'Growth Curves'!Q17)/Assumptions!B8,0),0)</f>
        <v/>
      </c>
      <c r="R6" s="18">
        <f>IF('Growth Curves'!R17&gt;0,ROUND(('P&amp;L'!R42/'Growth Curves'!R17)/Assumptions!B8,0),0)</f>
        <v/>
      </c>
      <c r="S6" s="18">
        <f>IF('Growth Curves'!S17&gt;0,ROUND(('P&amp;L'!S42/'Growth Curves'!S17)/Assumptions!B8,0),0)</f>
        <v/>
      </c>
      <c r="T6" s="18">
        <f>IF('Growth Curves'!T17&gt;0,ROUND(('P&amp;L'!T42/'Growth Curves'!T17)/Assumptions!B8,0),0)</f>
        <v/>
      </c>
      <c r="U6" s="18">
        <f>IF('Growth Curves'!U17&gt;0,ROUND(('P&amp;L'!U42/'Growth Curves'!U17)/Assumptions!B8,0),0)</f>
        <v/>
      </c>
      <c r="V6" s="18">
        <f>IF('Growth Curves'!V17&gt;0,ROUND(('P&amp;L'!V42/'Growth Curves'!V17)/Assumptions!B8,0),0)</f>
        <v/>
      </c>
      <c r="W6" s="18">
        <f>IF('Growth Curves'!W17&gt;0,ROUND(('P&amp;L'!W42/'Growth Curves'!W17)/Assumptions!B8,0),0)</f>
        <v/>
      </c>
      <c r="X6" s="18">
        <f>IF('Growth Curves'!X17&gt;0,ROUND(('P&amp;L'!X42/'Growth Curves'!X17)/Assumptions!B8,0),0)</f>
        <v/>
      </c>
      <c r="Y6" s="18">
        <f>IF('Growth Curves'!Y17&gt;0,ROUND(('P&amp;L'!Y42/'Growth Curves'!Y17)/Assumptions!B8,0),0)</f>
        <v/>
      </c>
      <c r="Z6" s="18">
        <f>Y6</f>
        <v/>
      </c>
    </row>
    <row r="7">
      <c r="A7" s="17" t="inlineStr">
        <is>
          <t xml:space="preserve">  CAC (paid ads / new subs)</t>
        </is>
      </c>
      <c r="B7" s="18">
        <f>IF('Growth Curves'!B15&gt;0,ROUND('Growth Curves'!B10/'Growth Curves'!B15,0),0)</f>
        <v/>
      </c>
      <c r="C7" s="18">
        <f>IF('Growth Curves'!C15&gt;0,ROUND('Growth Curves'!C10/'Growth Curves'!C15,0),0)</f>
        <v/>
      </c>
      <c r="D7" s="18">
        <f>IF('Growth Curves'!D15&gt;0,ROUND('Growth Curves'!D10/'Growth Curves'!D15,0),0)</f>
        <v/>
      </c>
      <c r="E7" s="18">
        <f>IF('Growth Curves'!E15&gt;0,ROUND('Growth Curves'!E10/'Growth Curves'!E15,0),0)</f>
        <v/>
      </c>
      <c r="F7" s="18">
        <f>IF('Growth Curves'!F15&gt;0,ROUND('Growth Curves'!F10/'Growth Curves'!F15,0),0)</f>
        <v/>
      </c>
      <c r="G7" s="18">
        <f>IF('Growth Curves'!G15&gt;0,ROUND('Growth Curves'!G10/'Growth Curves'!G15,0),0)</f>
        <v/>
      </c>
      <c r="H7" s="18">
        <f>IF('Growth Curves'!H15&gt;0,ROUND('Growth Curves'!H10/'Growth Curves'!H15,0),0)</f>
        <v/>
      </c>
      <c r="I7" s="18">
        <f>IF('Growth Curves'!I15&gt;0,ROUND('Growth Curves'!I10/'Growth Curves'!I15,0),0)</f>
        <v/>
      </c>
      <c r="J7" s="18">
        <f>IF('Growth Curves'!J15&gt;0,ROUND('Growth Curves'!J10/'Growth Curves'!J15,0),0)</f>
        <v/>
      </c>
      <c r="K7" s="18">
        <f>IF('Growth Curves'!K15&gt;0,ROUND('Growth Curves'!K10/'Growth Curves'!K15,0),0)</f>
        <v/>
      </c>
      <c r="L7" s="18">
        <f>IF('Growth Curves'!L15&gt;0,ROUND('Growth Curves'!L10/'Growth Curves'!L15,0),0)</f>
        <v/>
      </c>
      <c r="M7" s="18">
        <f>IF('Growth Curves'!M15&gt;0,ROUND('Growth Curves'!M10/'Growth Curves'!M15,0),0)</f>
        <v/>
      </c>
      <c r="N7" s="18">
        <f>IF('Growth Curves'!N15&gt;0,ROUND('Growth Curves'!N10/'Growth Curves'!N15,0),0)</f>
        <v/>
      </c>
      <c r="O7" s="18">
        <f>IF('Growth Curves'!O15&gt;0,ROUND('Growth Curves'!O10/'Growth Curves'!O15,0),0)</f>
        <v/>
      </c>
      <c r="P7" s="18">
        <f>IF('Growth Curves'!P15&gt;0,ROUND('Growth Curves'!P10/'Growth Curves'!P15,0),0)</f>
        <v/>
      </c>
      <c r="Q7" s="18">
        <f>IF('Growth Curves'!Q15&gt;0,ROUND('Growth Curves'!Q10/'Growth Curves'!Q15,0),0)</f>
        <v/>
      </c>
      <c r="R7" s="18">
        <f>IF('Growth Curves'!R15&gt;0,ROUND('Growth Curves'!R10/'Growth Curves'!R15,0),0)</f>
        <v/>
      </c>
      <c r="S7" s="18">
        <f>IF('Growth Curves'!S15&gt;0,ROUND('Growth Curves'!S10/'Growth Curves'!S15,0),0)</f>
        <v/>
      </c>
      <c r="T7" s="18">
        <f>IF('Growth Curves'!T15&gt;0,ROUND('Growth Curves'!T10/'Growth Curves'!T15,0),0)</f>
        <v/>
      </c>
      <c r="U7" s="18">
        <f>IF('Growth Curves'!U15&gt;0,ROUND('Growth Curves'!U10/'Growth Curves'!U15,0),0)</f>
        <v/>
      </c>
      <c r="V7" s="18">
        <f>IF('Growth Curves'!V15&gt;0,ROUND('Growth Curves'!V10/'Growth Curves'!V15,0),0)</f>
        <v/>
      </c>
      <c r="W7" s="18">
        <f>IF('Growth Curves'!W15&gt;0,ROUND('Growth Curves'!W10/'Growth Curves'!W15,0),0)</f>
        <v/>
      </c>
      <c r="X7" s="18">
        <f>IF('Growth Curves'!X15&gt;0,ROUND('Growth Curves'!X10/'Growth Curves'!X15,0),0)</f>
        <v/>
      </c>
      <c r="Y7" s="18">
        <f>IF('Growth Curves'!Y15&gt;0,ROUND('Growth Curves'!Y10/'Growth Curves'!Y15,0),0)</f>
        <v/>
      </c>
      <c r="Z7" s="18">
        <f>Y7</f>
        <v/>
      </c>
    </row>
    <row r="8">
      <c r="A8" s="40" t="inlineStr">
        <is>
          <t xml:space="preserve">  LTV:CAC Ratio</t>
        </is>
      </c>
      <c r="B8" s="44">
        <f>IF(B7&gt;0,ROUND(B6/B7,1),0)</f>
        <v/>
      </c>
      <c r="C8" s="44">
        <f>IF(C7&gt;0,ROUND(C6/C7,1),0)</f>
        <v/>
      </c>
      <c r="D8" s="44">
        <f>IF(D7&gt;0,ROUND(D6/D7,1),0)</f>
        <v/>
      </c>
      <c r="E8" s="44">
        <f>IF(E7&gt;0,ROUND(E6/E7,1),0)</f>
        <v/>
      </c>
      <c r="F8" s="44">
        <f>IF(F7&gt;0,ROUND(F6/F7,1),0)</f>
        <v/>
      </c>
      <c r="G8" s="44">
        <f>IF(G7&gt;0,ROUND(G6/G7,1),0)</f>
        <v/>
      </c>
      <c r="H8" s="44">
        <f>IF(H7&gt;0,ROUND(H6/H7,1),0)</f>
        <v/>
      </c>
      <c r="I8" s="44">
        <f>IF(I7&gt;0,ROUND(I6/I7,1),0)</f>
        <v/>
      </c>
      <c r="J8" s="44">
        <f>IF(J7&gt;0,ROUND(J6/J7,1),0)</f>
        <v/>
      </c>
      <c r="K8" s="44">
        <f>IF(K7&gt;0,ROUND(K6/K7,1),0)</f>
        <v/>
      </c>
      <c r="L8" s="44">
        <f>IF(L7&gt;0,ROUND(L6/L7,1),0)</f>
        <v/>
      </c>
      <c r="M8" s="44">
        <f>IF(M7&gt;0,ROUND(M6/M7,1),0)</f>
        <v/>
      </c>
      <c r="N8" s="44">
        <f>IF(N7&gt;0,ROUND(N6/N7,1),0)</f>
        <v/>
      </c>
      <c r="O8" s="44">
        <f>IF(O7&gt;0,ROUND(O6/O7,1),0)</f>
        <v/>
      </c>
      <c r="P8" s="44">
        <f>IF(P7&gt;0,ROUND(P6/P7,1),0)</f>
        <v/>
      </c>
      <c r="Q8" s="44">
        <f>IF(Q7&gt;0,ROUND(Q6/Q7,1),0)</f>
        <v/>
      </c>
      <c r="R8" s="44">
        <f>IF(R7&gt;0,ROUND(R6/R7,1),0)</f>
        <v/>
      </c>
      <c r="S8" s="44">
        <f>IF(S7&gt;0,ROUND(S6/S7,1),0)</f>
        <v/>
      </c>
      <c r="T8" s="44">
        <f>IF(T7&gt;0,ROUND(T6/T7,1),0)</f>
        <v/>
      </c>
      <c r="U8" s="44">
        <f>IF(U7&gt;0,ROUND(U6/U7,1),0)</f>
        <v/>
      </c>
      <c r="V8" s="44">
        <f>IF(V7&gt;0,ROUND(V6/V7,1),0)</f>
        <v/>
      </c>
      <c r="W8" s="44">
        <f>IF(W7&gt;0,ROUND(W6/W7,1),0)</f>
        <v/>
      </c>
      <c r="X8" s="44">
        <f>IF(X7&gt;0,ROUND(X6/X7,1),0)</f>
        <v/>
      </c>
      <c r="Y8" s="44">
        <f>IF(Y7&gt;0,ROUND(Y6/Y7,1),0)</f>
        <v/>
      </c>
      <c r="Z8" s="44">
        <f>Y8</f>
        <v/>
      </c>
    </row>
    <row r="9">
      <c r="A9" s="17" t="inlineStr">
        <is>
          <t xml:space="preserve">  CAC Payback (months)</t>
        </is>
      </c>
      <c r="B9" s="45">
        <f>IF(AND(B6&gt;0,B5&gt;0),ROUND(B7/B5,1),0)</f>
        <v/>
      </c>
      <c r="C9" s="45">
        <f>IF(AND(C6&gt;0,C5&gt;0),ROUND(C7/C5,1),0)</f>
        <v/>
      </c>
      <c r="D9" s="45">
        <f>IF(AND(D6&gt;0,D5&gt;0),ROUND(D7/D5,1),0)</f>
        <v/>
      </c>
      <c r="E9" s="45">
        <f>IF(AND(E6&gt;0,E5&gt;0),ROUND(E7/E5,1),0)</f>
        <v/>
      </c>
      <c r="F9" s="45">
        <f>IF(AND(F6&gt;0,F5&gt;0),ROUND(F7/F5,1),0)</f>
        <v/>
      </c>
      <c r="G9" s="45">
        <f>IF(AND(G6&gt;0,G5&gt;0),ROUND(G7/G5,1),0)</f>
        <v/>
      </c>
      <c r="H9" s="45">
        <f>IF(AND(H6&gt;0,H5&gt;0),ROUND(H7/H5,1),0)</f>
        <v/>
      </c>
      <c r="I9" s="45">
        <f>IF(AND(I6&gt;0,I5&gt;0),ROUND(I7/I5,1),0)</f>
        <v/>
      </c>
      <c r="J9" s="45">
        <f>IF(AND(J6&gt;0,J5&gt;0),ROUND(J7/J5,1),0)</f>
        <v/>
      </c>
      <c r="K9" s="45">
        <f>IF(AND(K6&gt;0,K5&gt;0),ROUND(K7/K5,1),0)</f>
        <v/>
      </c>
      <c r="L9" s="45">
        <f>IF(AND(L6&gt;0,L5&gt;0),ROUND(L7/L5,1),0)</f>
        <v/>
      </c>
      <c r="M9" s="45">
        <f>IF(AND(M6&gt;0,M5&gt;0),ROUND(M7/M5,1),0)</f>
        <v/>
      </c>
      <c r="N9" s="45">
        <f>IF(AND(N6&gt;0,N5&gt;0),ROUND(N7/N5,1),0)</f>
        <v/>
      </c>
      <c r="O9" s="45">
        <f>IF(AND(O6&gt;0,O5&gt;0),ROUND(O7/O5,1),0)</f>
        <v/>
      </c>
      <c r="P9" s="45">
        <f>IF(AND(P6&gt;0,P5&gt;0),ROUND(P7/P5,1),0)</f>
        <v/>
      </c>
      <c r="Q9" s="45">
        <f>IF(AND(Q6&gt;0,Q5&gt;0),ROUND(Q7/Q5,1),0)</f>
        <v/>
      </c>
      <c r="R9" s="45">
        <f>IF(AND(R6&gt;0,R5&gt;0),ROUND(R7/R5,1),0)</f>
        <v/>
      </c>
      <c r="S9" s="45">
        <f>IF(AND(S6&gt;0,S5&gt;0),ROUND(S7/S5,1),0)</f>
        <v/>
      </c>
      <c r="T9" s="45">
        <f>IF(AND(T6&gt;0,T5&gt;0),ROUND(T7/T5,1),0)</f>
        <v/>
      </c>
      <c r="U9" s="45">
        <f>IF(AND(U6&gt;0,U5&gt;0),ROUND(U7/U5,1),0)</f>
        <v/>
      </c>
      <c r="V9" s="45">
        <f>IF(AND(V6&gt;0,V5&gt;0),ROUND(V7/V5,1),0)</f>
        <v/>
      </c>
      <c r="W9" s="45">
        <f>IF(AND(W6&gt;0,W5&gt;0),ROUND(W7/W5,1),0)</f>
        <v/>
      </c>
      <c r="X9" s="45">
        <f>IF(AND(X6&gt;0,X5&gt;0),ROUND(X7/X5,1),0)</f>
        <v/>
      </c>
      <c r="Y9" s="45">
        <f>IF(AND(Y6&gt;0,Y5&gt;0),ROUND(Y7/Y5,1),0)</f>
        <v/>
      </c>
      <c r="Z9" s="45">
        <f>Y9</f>
        <v/>
      </c>
    </row>
    <row r="11">
      <c r="A11" s="9" t="inlineStr">
        <is>
          <t>CONTRIBUTION MARGIN BY STREAM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17" t="inlineStr">
        <is>
          <t xml:space="preserve">  Retail Contribution Margin %</t>
        </is>
      </c>
      <c r="B12" s="46">
        <f>IF('P&amp;L'!B17&gt;0,('P&amp;L'!B17-'P&amp;L'!B51-'P&amp;L'!B52-'P&amp;L'!B53)/'P&amp;L'!B17,0)</f>
        <v/>
      </c>
      <c r="C12" s="46">
        <f>IF('P&amp;L'!C17&gt;0,('P&amp;L'!C17-'P&amp;L'!C51-'P&amp;L'!C52-'P&amp;L'!C53)/'P&amp;L'!C17,0)</f>
        <v/>
      </c>
      <c r="D12" s="46">
        <f>IF('P&amp;L'!D17&gt;0,('P&amp;L'!D17-'P&amp;L'!D51-'P&amp;L'!D52-'P&amp;L'!D53)/'P&amp;L'!D17,0)</f>
        <v/>
      </c>
      <c r="E12" s="46">
        <f>IF('P&amp;L'!E17&gt;0,('P&amp;L'!E17-'P&amp;L'!E51-'P&amp;L'!E52-'P&amp;L'!E53)/'P&amp;L'!E17,0)</f>
        <v/>
      </c>
      <c r="F12" s="46">
        <f>IF('P&amp;L'!F17&gt;0,('P&amp;L'!F17-'P&amp;L'!F51-'P&amp;L'!F52-'P&amp;L'!F53)/'P&amp;L'!F17,0)</f>
        <v/>
      </c>
      <c r="G12" s="46">
        <f>IF('P&amp;L'!G17&gt;0,('P&amp;L'!G17-'P&amp;L'!G51-'P&amp;L'!G52-'P&amp;L'!G53)/'P&amp;L'!G17,0)</f>
        <v/>
      </c>
      <c r="H12" s="46">
        <f>IF('P&amp;L'!H17&gt;0,('P&amp;L'!H17-'P&amp;L'!H51-'P&amp;L'!H52-'P&amp;L'!H53)/'P&amp;L'!H17,0)</f>
        <v/>
      </c>
      <c r="I12" s="46">
        <f>IF('P&amp;L'!I17&gt;0,('P&amp;L'!I17-'P&amp;L'!I51-'P&amp;L'!I52-'P&amp;L'!I53)/'P&amp;L'!I17,0)</f>
        <v/>
      </c>
      <c r="J12" s="46">
        <f>IF('P&amp;L'!J17&gt;0,('P&amp;L'!J17-'P&amp;L'!J51-'P&amp;L'!J52-'P&amp;L'!J53)/'P&amp;L'!J17,0)</f>
        <v/>
      </c>
      <c r="K12" s="46">
        <f>IF('P&amp;L'!K17&gt;0,('P&amp;L'!K17-'P&amp;L'!K51-'P&amp;L'!K52-'P&amp;L'!K53)/'P&amp;L'!K17,0)</f>
        <v/>
      </c>
      <c r="L12" s="46">
        <f>IF('P&amp;L'!L17&gt;0,('P&amp;L'!L17-'P&amp;L'!L51-'P&amp;L'!L52-'P&amp;L'!L53)/'P&amp;L'!L17,0)</f>
        <v/>
      </c>
      <c r="M12" s="46">
        <f>IF('P&amp;L'!M17&gt;0,('P&amp;L'!M17-'P&amp;L'!M51-'P&amp;L'!M52-'P&amp;L'!M53)/'P&amp;L'!M17,0)</f>
        <v/>
      </c>
      <c r="N12" s="46">
        <f>IF('P&amp;L'!N17&gt;0,('P&amp;L'!N17-'P&amp;L'!N51-'P&amp;L'!N52-'P&amp;L'!N53)/'P&amp;L'!N17,0)</f>
        <v/>
      </c>
      <c r="O12" s="46">
        <f>IF('P&amp;L'!O17&gt;0,('P&amp;L'!O17-'P&amp;L'!O51-'P&amp;L'!O52-'P&amp;L'!O53)/'P&amp;L'!O17,0)</f>
        <v/>
      </c>
      <c r="P12" s="46">
        <f>IF('P&amp;L'!P17&gt;0,('P&amp;L'!P17-'P&amp;L'!P51-'P&amp;L'!P52-'P&amp;L'!P53)/'P&amp;L'!P17,0)</f>
        <v/>
      </c>
      <c r="Q12" s="46">
        <f>IF('P&amp;L'!Q17&gt;0,('P&amp;L'!Q17-'P&amp;L'!Q51-'P&amp;L'!Q52-'P&amp;L'!Q53)/'P&amp;L'!Q17,0)</f>
        <v/>
      </c>
      <c r="R12" s="46">
        <f>IF('P&amp;L'!R17&gt;0,('P&amp;L'!R17-'P&amp;L'!R51-'P&amp;L'!R52-'P&amp;L'!R53)/'P&amp;L'!R17,0)</f>
        <v/>
      </c>
      <c r="S12" s="46">
        <f>IF('P&amp;L'!S17&gt;0,('P&amp;L'!S17-'P&amp;L'!S51-'P&amp;L'!S52-'P&amp;L'!S53)/'P&amp;L'!S17,0)</f>
        <v/>
      </c>
      <c r="T12" s="46">
        <f>IF('P&amp;L'!T17&gt;0,('P&amp;L'!T17-'P&amp;L'!T51-'P&amp;L'!T52-'P&amp;L'!T53)/'P&amp;L'!T17,0)</f>
        <v/>
      </c>
      <c r="U12" s="46">
        <f>IF('P&amp;L'!U17&gt;0,('P&amp;L'!U17-'P&amp;L'!U51-'P&amp;L'!U52-'P&amp;L'!U53)/'P&amp;L'!U17,0)</f>
        <v/>
      </c>
      <c r="V12" s="46">
        <f>IF('P&amp;L'!V17&gt;0,('P&amp;L'!V17-'P&amp;L'!V51-'P&amp;L'!V52-'P&amp;L'!V53)/'P&amp;L'!V17,0)</f>
        <v/>
      </c>
      <c r="W12" s="46">
        <f>IF('P&amp;L'!W17&gt;0,('P&amp;L'!W17-'P&amp;L'!W51-'P&amp;L'!W52-'P&amp;L'!W53)/'P&amp;L'!W17,0)</f>
        <v/>
      </c>
      <c r="X12" s="46">
        <f>IF('P&amp;L'!X17&gt;0,('P&amp;L'!X17-'P&amp;L'!X51-'P&amp;L'!X52-'P&amp;L'!X53)/'P&amp;L'!X17,0)</f>
        <v/>
      </c>
      <c r="Y12" s="46">
        <f>IF('P&amp;L'!Y17&gt;0,('P&amp;L'!Y17-'P&amp;L'!Y51-'P&amp;L'!Y52-'P&amp;L'!Y53)/'P&amp;L'!Y17,0)</f>
        <v/>
      </c>
      <c r="Z12" s="46">
        <f>Y12</f>
        <v/>
      </c>
    </row>
    <row r="13">
      <c r="A13" s="17" t="inlineStr">
        <is>
          <t xml:space="preserve">  LED Therapy Contribution Margin %</t>
        </is>
      </c>
      <c r="B13" s="46">
        <f>IF('P&amp;L'!B21&gt;0,('P&amp;L'!B21-'P&amp;L'!B54)/'P&amp;L'!B21,0)</f>
        <v/>
      </c>
      <c r="C13" s="46">
        <f>IF('P&amp;L'!C21&gt;0,('P&amp;L'!C21-'P&amp;L'!C54)/'P&amp;L'!C21,0)</f>
        <v/>
      </c>
      <c r="D13" s="46">
        <f>IF('P&amp;L'!D21&gt;0,('P&amp;L'!D21-'P&amp;L'!D54)/'P&amp;L'!D21,0)</f>
        <v/>
      </c>
      <c r="E13" s="46">
        <f>IF('P&amp;L'!E21&gt;0,('P&amp;L'!E21-'P&amp;L'!E54)/'P&amp;L'!E21,0)</f>
        <v/>
      </c>
      <c r="F13" s="46">
        <f>IF('P&amp;L'!F21&gt;0,('P&amp;L'!F21-'P&amp;L'!F54)/'P&amp;L'!F21,0)</f>
        <v/>
      </c>
      <c r="G13" s="46">
        <f>IF('P&amp;L'!G21&gt;0,('P&amp;L'!G21-'P&amp;L'!G54)/'P&amp;L'!G21,0)</f>
        <v/>
      </c>
      <c r="H13" s="46">
        <f>IF('P&amp;L'!H21&gt;0,('P&amp;L'!H21-'P&amp;L'!H54)/'P&amp;L'!H21,0)</f>
        <v/>
      </c>
      <c r="I13" s="46">
        <f>IF('P&amp;L'!I21&gt;0,('P&amp;L'!I21-'P&amp;L'!I54)/'P&amp;L'!I21,0)</f>
        <v/>
      </c>
      <c r="J13" s="46">
        <f>IF('P&amp;L'!J21&gt;0,('P&amp;L'!J21-'P&amp;L'!J54)/'P&amp;L'!J21,0)</f>
        <v/>
      </c>
      <c r="K13" s="46">
        <f>IF('P&amp;L'!K21&gt;0,('P&amp;L'!K21-'P&amp;L'!K54)/'P&amp;L'!K21,0)</f>
        <v/>
      </c>
      <c r="L13" s="46">
        <f>IF('P&amp;L'!L21&gt;0,('P&amp;L'!L21-'P&amp;L'!L54)/'P&amp;L'!L21,0)</f>
        <v/>
      </c>
      <c r="M13" s="46">
        <f>IF('P&amp;L'!M21&gt;0,('P&amp;L'!M21-'P&amp;L'!M54)/'P&amp;L'!M21,0)</f>
        <v/>
      </c>
      <c r="N13" s="46">
        <f>IF('P&amp;L'!N21&gt;0,('P&amp;L'!N21-'P&amp;L'!N54)/'P&amp;L'!N21,0)</f>
        <v/>
      </c>
      <c r="O13" s="46">
        <f>IF('P&amp;L'!O21&gt;0,('P&amp;L'!O21-'P&amp;L'!O54)/'P&amp;L'!O21,0)</f>
        <v/>
      </c>
      <c r="P13" s="46">
        <f>IF('P&amp;L'!P21&gt;0,('P&amp;L'!P21-'P&amp;L'!P54)/'P&amp;L'!P21,0)</f>
        <v/>
      </c>
      <c r="Q13" s="46">
        <f>IF('P&amp;L'!Q21&gt;0,('P&amp;L'!Q21-'P&amp;L'!Q54)/'P&amp;L'!Q21,0)</f>
        <v/>
      </c>
      <c r="R13" s="46">
        <f>IF('P&amp;L'!R21&gt;0,('P&amp;L'!R21-'P&amp;L'!R54)/'P&amp;L'!R21,0)</f>
        <v/>
      </c>
      <c r="S13" s="46">
        <f>IF('P&amp;L'!S21&gt;0,('P&amp;L'!S21-'P&amp;L'!S54)/'P&amp;L'!S21,0)</f>
        <v/>
      </c>
      <c r="T13" s="46">
        <f>IF('P&amp;L'!T21&gt;0,('P&amp;L'!T21-'P&amp;L'!T54)/'P&amp;L'!T21,0)</f>
        <v/>
      </c>
      <c r="U13" s="46">
        <f>IF('P&amp;L'!U21&gt;0,('P&amp;L'!U21-'P&amp;L'!U54)/'P&amp;L'!U21,0)</f>
        <v/>
      </c>
      <c r="V13" s="46">
        <f>IF('P&amp;L'!V21&gt;0,('P&amp;L'!V21-'P&amp;L'!V54)/'P&amp;L'!V21,0)</f>
        <v/>
      </c>
      <c r="W13" s="46">
        <f>IF('P&amp;L'!W21&gt;0,('P&amp;L'!W21-'P&amp;L'!W54)/'P&amp;L'!W21,0)</f>
        <v/>
      </c>
      <c r="X13" s="46">
        <f>IF('P&amp;L'!X21&gt;0,('P&amp;L'!X21-'P&amp;L'!X54)/'P&amp;L'!X21,0)</f>
        <v/>
      </c>
      <c r="Y13" s="46">
        <f>IF('P&amp;L'!Y21&gt;0,('P&amp;L'!Y21-'P&amp;L'!Y54)/'P&amp;L'!Y21,0)</f>
        <v/>
      </c>
      <c r="Z13" s="46">
        <f>Y13</f>
        <v/>
      </c>
    </row>
    <row r="14">
      <c r="A14" s="17" t="inlineStr">
        <is>
          <t xml:space="preserve">  Smoothie Bar Contribution Margin %</t>
        </is>
      </c>
      <c r="B14" s="46">
        <f>IF('P&amp;L'!B25&gt;0,('P&amp;L'!B25-'P&amp;L'!B56)/'P&amp;L'!B25,0)</f>
        <v/>
      </c>
      <c r="C14" s="46">
        <f>IF('P&amp;L'!C25&gt;0,('P&amp;L'!C25-'P&amp;L'!C56)/'P&amp;L'!C25,0)</f>
        <v/>
      </c>
      <c r="D14" s="46">
        <f>IF('P&amp;L'!D25&gt;0,('P&amp;L'!D25-'P&amp;L'!D56)/'P&amp;L'!D25,0)</f>
        <v/>
      </c>
      <c r="E14" s="46">
        <f>IF('P&amp;L'!E25&gt;0,('P&amp;L'!E25-'P&amp;L'!E56)/'P&amp;L'!E25,0)</f>
        <v/>
      </c>
      <c r="F14" s="46">
        <f>IF('P&amp;L'!F25&gt;0,('P&amp;L'!F25-'P&amp;L'!F56)/'P&amp;L'!F25,0)</f>
        <v/>
      </c>
      <c r="G14" s="46">
        <f>IF('P&amp;L'!G25&gt;0,('P&amp;L'!G25-'P&amp;L'!G56)/'P&amp;L'!G25,0)</f>
        <v/>
      </c>
      <c r="H14" s="46">
        <f>IF('P&amp;L'!H25&gt;0,('P&amp;L'!H25-'P&amp;L'!H56)/'P&amp;L'!H25,0)</f>
        <v/>
      </c>
      <c r="I14" s="46">
        <f>IF('P&amp;L'!I25&gt;0,('P&amp;L'!I25-'P&amp;L'!I56)/'P&amp;L'!I25,0)</f>
        <v/>
      </c>
      <c r="J14" s="46">
        <f>IF('P&amp;L'!J25&gt;0,('P&amp;L'!J25-'P&amp;L'!J56)/'P&amp;L'!J25,0)</f>
        <v/>
      </c>
      <c r="K14" s="46">
        <f>IF('P&amp;L'!K25&gt;0,('P&amp;L'!K25-'P&amp;L'!K56)/'P&amp;L'!K25,0)</f>
        <v/>
      </c>
      <c r="L14" s="46">
        <f>IF('P&amp;L'!L25&gt;0,('P&amp;L'!L25-'P&amp;L'!L56)/'P&amp;L'!L25,0)</f>
        <v/>
      </c>
      <c r="M14" s="46">
        <f>IF('P&amp;L'!M25&gt;0,('P&amp;L'!M25-'P&amp;L'!M56)/'P&amp;L'!M25,0)</f>
        <v/>
      </c>
      <c r="N14" s="46">
        <f>IF('P&amp;L'!N25&gt;0,('P&amp;L'!N25-'P&amp;L'!N56)/'P&amp;L'!N25,0)</f>
        <v/>
      </c>
      <c r="O14" s="46">
        <f>IF('P&amp;L'!O25&gt;0,('P&amp;L'!O25-'P&amp;L'!O56)/'P&amp;L'!O25,0)</f>
        <v/>
      </c>
      <c r="P14" s="46">
        <f>IF('P&amp;L'!P25&gt;0,('P&amp;L'!P25-'P&amp;L'!P56)/'P&amp;L'!P25,0)</f>
        <v/>
      </c>
      <c r="Q14" s="46">
        <f>IF('P&amp;L'!Q25&gt;0,('P&amp;L'!Q25-'P&amp;L'!Q56)/'P&amp;L'!Q25,0)</f>
        <v/>
      </c>
      <c r="R14" s="46">
        <f>IF('P&amp;L'!R25&gt;0,('P&amp;L'!R25-'P&amp;L'!R56)/'P&amp;L'!R25,0)</f>
        <v/>
      </c>
      <c r="S14" s="46">
        <f>IF('P&amp;L'!S25&gt;0,('P&amp;L'!S25-'P&amp;L'!S56)/'P&amp;L'!S25,0)</f>
        <v/>
      </c>
      <c r="T14" s="46">
        <f>IF('P&amp;L'!T25&gt;0,('P&amp;L'!T25-'P&amp;L'!T56)/'P&amp;L'!T25,0)</f>
        <v/>
      </c>
      <c r="U14" s="46">
        <f>IF('P&amp;L'!U25&gt;0,('P&amp;L'!U25-'P&amp;L'!U56)/'P&amp;L'!U25,0)</f>
        <v/>
      </c>
      <c r="V14" s="46">
        <f>IF('P&amp;L'!V25&gt;0,('P&amp;L'!V25-'P&amp;L'!V56)/'P&amp;L'!V25,0)</f>
        <v/>
      </c>
      <c r="W14" s="46">
        <f>IF('P&amp;L'!W25&gt;0,('P&amp;L'!W25-'P&amp;L'!W56)/'P&amp;L'!W25,0)</f>
        <v/>
      </c>
      <c r="X14" s="46">
        <f>IF('P&amp;L'!X25&gt;0,('P&amp;L'!X25-'P&amp;L'!X56)/'P&amp;L'!X25,0)</f>
        <v/>
      </c>
      <c r="Y14" s="46">
        <f>IF('P&amp;L'!Y25&gt;0,('P&amp;L'!Y25-'P&amp;L'!Y56)/'P&amp;L'!Y25,0)</f>
        <v/>
      </c>
      <c r="Z14" s="46">
        <f>Y14</f>
        <v/>
      </c>
    </row>
    <row r="15">
      <c r="A15" s="17" t="inlineStr">
        <is>
          <t xml:space="preserve">  Subscription Contribution Margin %</t>
        </is>
      </c>
      <c r="B15" s="46">
        <f>IF('P&amp;L'!B42&gt;0,('P&amp;L'!B42-'P&amp;L'!B59)/'P&amp;L'!B42,0)</f>
        <v/>
      </c>
      <c r="C15" s="46">
        <f>IF('P&amp;L'!C42&gt;0,('P&amp;L'!C42-'P&amp;L'!C59)/'P&amp;L'!C42,0)</f>
        <v/>
      </c>
      <c r="D15" s="46">
        <f>IF('P&amp;L'!D42&gt;0,('P&amp;L'!D42-'P&amp;L'!D59)/'P&amp;L'!D42,0)</f>
        <v/>
      </c>
      <c r="E15" s="46">
        <f>IF('P&amp;L'!E42&gt;0,('P&amp;L'!E42-'P&amp;L'!E59)/'P&amp;L'!E42,0)</f>
        <v/>
      </c>
      <c r="F15" s="46">
        <f>IF('P&amp;L'!F42&gt;0,('P&amp;L'!F42-'P&amp;L'!F59)/'P&amp;L'!F42,0)</f>
        <v/>
      </c>
      <c r="G15" s="46">
        <f>IF('P&amp;L'!G42&gt;0,('P&amp;L'!G42-'P&amp;L'!G59)/'P&amp;L'!G42,0)</f>
        <v/>
      </c>
      <c r="H15" s="46">
        <f>IF('P&amp;L'!H42&gt;0,('P&amp;L'!H42-'P&amp;L'!H59)/'P&amp;L'!H42,0)</f>
        <v/>
      </c>
      <c r="I15" s="46">
        <f>IF('P&amp;L'!I42&gt;0,('P&amp;L'!I42-'P&amp;L'!I59)/'P&amp;L'!I42,0)</f>
        <v/>
      </c>
      <c r="J15" s="46">
        <f>IF('P&amp;L'!J42&gt;0,('P&amp;L'!J42-'P&amp;L'!J59)/'P&amp;L'!J42,0)</f>
        <v/>
      </c>
      <c r="K15" s="46">
        <f>IF('P&amp;L'!K42&gt;0,('P&amp;L'!K42-'P&amp;L'!K59)/'P&amp;L'!K42,0)</f>
        <v/>
      </c>
      <c r="L15" s="46">
        <f>IF('P&amp;L'!L42&gt;0,('P&amp;L'!L42-'P&amp;L'!L59)/'P&amp;L'!L42,0)</f>
        <v/>
      </c>
      <c r="M15" s="46">
        <f>IF('P&amp;L'!M42&gt;0,('P&amp;L'!M42-'P&amp;L'!M59)/'P&amp;L'!M42,0)</f>
        <v/>
      </c>
      <c r="N15" s="46">
        <f>IF('P&amp;L'!N42&gt;0,('P&amp;L'!N42-'P&amp;L'!N59)/'P&amp;L'!N42,0)</f>
        <v/>
      </c>
      <c r="O15" s="46">
        <f>IF('P&amp;L'!O42&gt;0,('P&amp;L'!O42-'P&amp;L'!O59)/'P&amp;L'!O42,0)</f>
        <v/>
      </c>
      <c r="P15" s="46">
        <f>IF('P&amp;L'!P42&gt;0,('P&amp;L'!P42-'P&amp;L'!P59)/'P&amp;L'!P42,0)</f>
        <v/>
      </c>
      <c r="Q15" s="46">
        <f>IF('P&amp;L'!Q42&gt;0,('P&amp;L'!Q42-'P&amp;L'!Q59)/'P&amp;L'!Q42,0)</f>
        <v/>
      </c>
      <c r="R15" s="46">
        <f>IF('P&amp;L'!R42&gt;0,('P&amp;L'!R42-'P&amp;L'!R59)/'P&amp;L'!R42,0)</f>
        <v/>
      </c>
      <c r="S15" s="46">
        <f>IF('P&amp;L'!S42&gt;0,('P&amp;L'!S42-'P&amp;L'!S59)/'P&amp;L'!S42,0)</f>
        <v/>
      </c>
      <c r="T15" s="46">
        <f>IF('P&amp;L'!T42&gt;0,('P&amp;L'!T42-'P&amp;L'!T59)/'P&amp;L'!T42,0)</f>
        <v/>
      </c>
      <c r="U15" s="46">
        <f>IF('P&amp;L'!U42&gt;0,('P&amp;L'!U42-'P&amp;L'!U59)/'P&amp;L'!U42,0)</f>
        <v/>
      </c>
      <c r="V15" s="46">
        <f>IF('P&amp;L'!V42&gt;0,('P&amp;L'!V42-'P&amp;L'!V59)/'P&amp;L'!V42,0)</f>
        <v/>
      </c>
      <c r="W15" s="46">
        <f>IF('P&amp;L'!W42&gt;0,('P&amp;L'!W42-'P&amp;L'!W59)/'P&amp;L'!W42,0)</f>
        <v/>
      </c>
      <c r="X15" s="46">
        <f>IF('P&amp;L'!X42&gt;0,('P&amp;L'!X42-'P&amp;L'!X59)/'P&amp;L'!X42,0)</f>
        <v/>
      </c>
      <c r="Y15" s="46">
        <f>IF('P&amp;L'!Y42&gt;0,('P&amp;L'!Y42-'P&amp;L'!Y59)/'P&amp;L'!Y42,0)</f>
        <v/>
      </c>
      <c r="Z15" s="46">
        <f>Y15</f>
        <v/>
      </c>
    </row>
    <row r="17">
      <c r="A17" s="9" t="inlineStr">
        <is>
          <t>REVENUE MIX (P5: only 4.7% subs at M24)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5" t="inlineStr">
        <is>
          <t xml:space="preserve">  Retail %</t>
        </is>
      </c>
      <c r="B18" s="21">
        <f>IF('P&amp;L'!B47&gt;0,'P&amp;L'!B17/'P&amp;L'!B47,0)</f>
        <v/>
      </c>
      <c r="C18" s="21">
        <f>IF('P&amp;L'!C47&gt;0,'P&amp;L'!C17/'P&amp;L'!C47,0)</f>
        <v/>
      </c>
      <c r="D18" s="21">
        <f>IF('P&amp;L'!D47&gt;0,'P&amp;L'!D17/'P&amp;L'!D47,0)</f>
        <v/>
      </c>
      <c r="E18" s="21">
        <f>IF('P&amp;L'!E47&gt;0,'P&amp;L'!E17/'P&amp;L'!E47,0)</f>
        <v/>
      </c>
      <c r="F18" s="21">
        <f>IF('P&amp;L'!F47&gt;0,'P&amp;L'!F17/'P&amp;L'!F47,0)</f>
        <v/>
      </c>
      <c r="G18" s="21">
        <f>IF('P&amp;L'!G47&gt;0,'P&amp;L'!G17/'P&amp;L'!G47,0)</f>
        <v/>
      </c>
      <c r="H18" s="21">
        <f>IF('P&amp;L'!H47&gt;0,'P&amp;L'!H17/'P&amp;L'!H47,0)</f>
        <v/>
      </c>
      <c r="I18" s="21">
        <f>IF('P&amp;L'!I47&gt;0,'P&amp;L'!I17/'P&amp;L'!I47,0)</f>
        <v/>
      </c>
      <c r="J18" s="21">
        <f>IF('P&amp;L'!J47&gt;0,'P&amp;L'!J17/'P&amp;L'!J47,0)</f>
        <v/>
      </c>
      <c r="K18" s="21">
        <f>IF('P&amp;L'!K47&gt;0,'P&amp;L'!K17/'P&amp;L'!K47,0)</f>
        <v/>
      </c>
      <c r="L18" s="21">
        <f>IF('P&amp;L'!L47&gt;0,'P&amp;L'!L17/'P&amp;L'!L47,0)</f>
        <v/>
      </c>
      <c r="M18" s="21">
        <f>IF('P&amp;L'!M47&gt;0,'P&amp;L'!M17/'P&amp;L'!M47,0)</f>
        <v/>
      </c>
      <c r="N18" s="21">
        <f>IF('P&amp;L'!N47&gt;0,'P&amp;L'!N17/'P&amp;L'!N47,0)</f>
        <v/>
      </c>
      <c r="O18" s="21">
        <f>IF('P&amp;L'!O47&gt;0,'P&amp;L'!O17/'P&amp;L'!O47,0)</f>
        <v/>
      </c>
      <c r="P18" s="21">
        <f>IF('P&amp;L'!P47&gt;0,'P&amp;L'!P17/'P&amp;L'!P47,0)</f>
        <v/>
      </c>
      <c r="Q18" s="21">
        <f>IF('P&amp;L'!Q47&gt;0,'P&amp;L'!Q17/'P&amp;L'!Q47,0)</f>
        <v/>
      </c>
      <c r="R18" s="21">
        <f>IF('P&amp;L'!R47&gt;0,'P&amp;L'!R17/'P&amp;L'!R47,0)</f>
        <v/>
      </c>
      <c r="S18" s="21">
        <f>IF('P&amp;L'!S47&gt;0,'P&amp;L'!S17/'P&amp;L'!S47,0)</f>
        <v/>
      </c>
      <c r="T18" s="21">
        <f>IF('P&amp;L'!T47&gt;0,'P&amp;L'!T17/'P&amp;L'!T47,0)</f>
        <v/>
      </c>
      <c r="U18" s="21">
        <f>IF('P&amp;L'!U47&gt;0,'P&amp;L'!U17/'P&amp;L'!U47,0)</f>
        <v/>
      </c>
      <c r="V18" s="21">
        <f>IF('P&amp;L'!V47&gt;0,'P&amp;L'!V17/'P&amp;L'!V47,0)</f>
        <v/>
      </c>
      <c r="W18" s="21">
        <f>IF('P&amp;L'!W47&gt;0,'P&amp;L'!W17/'P&amp;L'!W47,0)</f>
        <v/>
      </c>
      <c r="X18" s="21">
        <f>IF('P&amp;L'!X47&gt;0,'P&amp;L'!X17/'P&amp;L'!X47,0)</f>
        <v/>
      </c>
      <c r="Y18" s="21">
        <f>IF('P&amp;L'!Y47&gt;0,'P&amp;L'!Y17/'P&amp;L'!Y47,0)</f>
        <v/>
      </c>
      <c r="Z18" s="21">
        <f>Y18</f>
        <v/>
      </c>
    </row>
    <row r="19">
      <c r="A19" s="5" t="inlineStr">
        <is>
          <t xml:space="preserve">  LED %</t>
        </is>
      </c>
      <c r="B19" s="21">
        <f>IF('P&amp;L'!B47&gt;0,'P&amp;L'!B21/'P&amp;L'!B47,0)</f>
        <v/>
      </c>
      <c r="C19" s="21">
        <f>IF('P&amp;L'!C47&gt;0,'P&amp;L'!C21/'P&amp;L'!C47,0)</f>
        <v/>
      </c>
      <c r="D19" s="21">
        <f>IF('P&amp;L'!D47&gt;0,'P&amp;L'!D21/'P&amp;L'!D47,0)</f>
        <v/>
      </c>
      <c r="E19" s="21">
        <f>IF('P&amp;L'!E47&gt;0,'P&amp;L'!E21/'P&amp;L'!E47,0)</f>
        <v/>
      </c>
      <c r="F19" s="21">
        <f>IF('P&amp;L'!F47&gt;0,'P&amp;L'!F21/'P&amp;L'!F47,0)</f>
        <v/>
      </c>
      <c r="G19" s="21">
        <f>IF('P&amp;L'!G47&gt;0,'P&amp;L'!G21/'P&amp;L'!G47,0)</f>
        <v/>
      </c>
      <c r="H19" s="21">
        <f>IF('P&amp;L'!H47&gt;0,'P&amp;L'!H21/'P&amp;L'!H47,0)</f>
        <v/>
      </c>
      <c r="I19" s="21">
        <f>IF('P&amp;L'!I47&gt;0,'P&amp;L'!I21/'P&amp;L'!I47,0)</f>
        <v/>
      </c>
      <c r="J19" s="21">
        <f>IF('P&amp;L'!J47&gt;0,'P&amp;L'!J21/'P&amp;L'!J47,0)</f>
        <v/>
      </c>
      <c r="K19" s="21">
        <f>IF('P&amp;L'!K47&gt;0,'P&amp;L'!K21/'P&amp;L'!K47,0)</f>
        <v/>
      </c>
      <c r="L19" s="21">
        <f>IF('P&amp;L'!L47&gt;0,'P&amp;L'!L21/'P&amp;L'!L47,0)</f>
        <v/>
      </c>
      <c r="M19" s="21">
        <f>IF('P&amp;L'!M47&gt;0,'P&amp;L'!M21/'P&amp;L'!M47,0)</f>
        <v/>
      </c>
      <c r="N19" s="21">
        <f>IF('P&amp;L'!N47&gt;0,'P&amp;L'!N21/'P&amp;L'!N47,0)</f>
        <v/>
      </c>
      <c r="O19" s="21">
        <f>IF('P&amp;L'!O47&gt;0,'P&amp;L'!O21/'P&amp;L'!O47,0)</f>
        <v/>
      </c>
      <c r="P19" s="21">
        <f>IF('P&amp;L'!P47&gt;0,'P&amp;L'!P21/'P&amp;L'!P47,0)</f>
        <v/>
      </c>
      <c r="Q19" s="21">
        <f>IF('P&amp;L'!Q47&gt;0,'P&amp;L'!Q21/'P&amp;L'!Q47,0)</f>
        <v/>
      </c>
      <c r="R19" s="21">
        <f>IF('P&amp;L'!R47&gt;0,'P&amp;L'!R21/'P&amp;L'!R47,0)</f>
        <v/>
      </c>
      <c r="S19" s="21">
        <f>IF('P&amp;L'!S47&gt;0,'P&amp;L'!S21/'P&amp;L'!S47,0)</f>
        <v/>
      </c>
      <c r="T19" s="21">
        <f>IF('P&amp;L'!T47&gt;0,'P&amp;L'!T21/'P&amp;L'!T47,0)</f>
        <v/>
      </c>
      <c r="U19" s="21">
        <f>IF('P&amp;L'!U47&gt;0,'P&amp;L'!U21/'P&amp;L'!U47,0)</f>
        <v/>
      </c>
      <c r="V19" s="21">
        <f>IF('P&amp;L'!V47&gt;0,'P&amp;L'!V21/'P&amp;L'!V47,0)</f>
        <v/>
      </c>
      <c r="W19" s="21">
        <f>IF('P&amp;L'!W47&gt;0,'P&amp;L'!W21/'P&amp;L'!W47,0)</f>
        <v/>
      </c>
      <c r="X19" s="21">
        <f>IF('P&amp;L'!X47&gt;0,'P&amp;L'!X21/'P&amp;L'!X47,0)</f>
        <v/>
      </c>
      <c r="Y19" s="21">
        <f>IF('P&amp;L'!Y47&gt;0,'P&amp;L'!Y21/'P&amp;L'!Y47,0)</f>
        <v/>
      </c>
      <c r="Z19" s="21">
        <f>Y19</f>
        <v/>
      </c>
    </row>
    <row r="20">
      <c r="A20" s="5" t="inlineStr">
        <is>
          <t xml:space="preserve">  Smoothie %</t>
        </is>
      </c>
      <c r="B20" s="21">
        <f>IF('P&amp;L'!B47&gt;0,'P&amp;L'!B25/'P&amp;L'!B47,0)</f>
        <v/>
      </c>
      <c r="C20" s="21">
        <f>IF('P&amp;L'!C47&gt;0,'P&amp;L'!C25/'P&amp;L'!C47,0)</f>
        <v/>
      </c>
      <c r="D20" s="21">
        <f>IF('P&amp;L'!D47&gt;0,'P&amp;L'!D25/'P&amp;L'!D47,0)</f>
        <v/>
      </c>
      <c r="E20" s="21">
        <f>IF('P&amp;L'!E47&gt;0,'P&amp;L'!E25/'P&amp;L'!E47,0)</f>
        <v/>
      </c>
      <c r="F20" s="21">
        <f>IF('P&amp;L'!F47&gt;0,'P&amp;L'!F25/'P&amp;L'!F47,0)</f>
        <v/>
      </c>
      <c r="G20" s="21">
        <f>IF('P&amp;L'!G47&gt;0,'P&amp;L'!G25/'P&amp;L'!G47,0)</f>
        <v/>
      </c>
      <c r="H20" s="21">
        <f>IF('P&amp;L'!H47&gt;0,'P&amp;L'!H25/'P&amp;L'!H47,0)</f>
        <v/>
      </c>
      <c r="I20" s="21">
        <f>IF('P&amp;L'!I47&gt;0,'P&amp;L'!I25/'P&amp;L'!I47,0)</f>
        <v/>
      </c>
      <c r="J20" s="21">
        <f>IF('P&amp;L'!J47&gt;0,'P&amp;L'!J25/'P&amp;L'!J47,0)</f>
        <v/>
      </c>
      <c r="K20" s="21">
        <f>IF('P&amp;L'!K47&gt;0,'P&amp;L'!K25/'P&amp;L'!K47,0)</f>
        <v/>
      </c>
      <c r="L20" s="21">
        <f>IF('P&amp;L'!L47&gt;0,'P&amp;L'!L25/'P&amp;L'!L47,0)</f>
        <v/>
      </c>
      <c r="M20" s="21">
        <f>IF('P&amp;L'!M47&gt;0,'P&amp;L'!M25/'P&amp;L'!M47,0)</f>
        <v/>
      </c>
      <c r="N20" s="21">
        <f>IF('P&amp;L'!N47&gt;0,'P&amp;L'!N25/'P&amp;L'!N47,0)</f>
        <v/>
      </c>
      <c r="O20" s="21">
        <f>IF('P&amp;L'!O47&gt;0,'P&amp;L'!O25/'P&amp;L'!O47,0)</f>
        <v/>
      </c>
      <c r="P20" s="21">
        <f>IF('P&amp;L'!P47&gt;0,'P&amp;L'!P25/'P&amp;L'!P47,0)</f>
        <v/>
      </c>
      <c r="Q20" s="21">
        <f>IF('P&amp;L'!Q47&gt;0,'P&amp;L'!Q25/'P&amp;L'!Q47,0)</f>
        <v/>
      </c>
      <c r="R20" s="21">
        <f>IF('P&amp;L'!R47&gt;0,'P&amp;L'!R25/'P&amp;L'!R47,0)</f>
        <v/>
      </c>
      <c r="S20" s="21">
        <f>IF('P&amp;L'!S47&gt;0,'P&amp;L'!S25/'P&amp;L'!S47,0)</f>
        <v/>
      </c>
      <c r="T20" s="21">
        <f>IF('P&amp;L'!T47&gt;0,'P&amp;L'!T25/'P&amp;L'!T47,0)</f>
        <v/>
      </c>
      <c r="U20" s="21">
        <f>IF('P&amp;L'!U47&gt;0,'P&amp;L'!U25/'P&amp;L'!U47,0)</f>
        <v/>
      </c>
      <c r="V20" s="21">
        <f>IF('P&amp;L'!V47&gt;0,'P&amp;L'!V25/'P&amp;L'!V47,0)</f>
        <v/>
      </c>
      <c r="W20" s="21">
        <f>IF('P&amp;L'!W47&gt;0,'P&amp;L'!W25/'P&amp;L'!W47,0)</f>
        <v/>
      </c>
      <c r="X20" s="21">
        <f>IF('P&amp;L'!X47&gt;0,'P&amp;L'!X25/'P&amp;L'!X47,0)</f>
        <v/>
      </c>
      <c r="Y20" s="21">
        <f>IF('P&amp;L'!Y47&gt;0,'P&amp;L'!Y25/'P&amp;L'!Y47,0)</f>
        <v/>
      </c>
      <c r="Z20" s="21">
        <f>Y20</f>
        <v/>
      </c>
    </row>
    <row r="21">
      <c r="A21" s="5" t="inlineStr">
        <is>
          <t xml:space="preserve">  Events %</t>
        </is>
      </c>
      <c r="B21" s="21">
        <f>IF('P&amp;L'!B47&gt;0,'P&amp;L'!B31/'P&amp;L'!B47,0)</f>
        <v/>
      </c>
      <c r="C21" s="21">
        <f>IF('P&amp;L'!C47&gt;0,'P&amp;L'!C31/'P&amp;L'!C47,0)</f>
        <v/>
      </c>
      <c r="D21" s="21">
        <f>IF('P&amp;L'!D47&gt;0,'P&amp;L'!D31/'P&amp;L'!D47,0)</f>
        <v/>
      </c>
      <c r="E21" s="21">
        <f>IF('P&amp;L'!E47&gt;0,'P&amp;L'!E31/'P&amp;L'!E47,0)</f>
        <v/>
      </c>
      <c r="F21" s="21">
        <f>IF('P&amp;L'!F47&gt;0,'P&amp;L'!F31/'P&amp;L'!F47,0)</f>
        <v/>
      </c>
      <c r="G21" s="21">
        <f>IF('P&amp;L'!G47&gt;0,'P&amp;L'!G31/'P&amp;L'!G47,0)</f>
        <v/>
      </c>
      <c r="H21" s="21">
        <f>IF('P&amp;L'!H47&gt;0,'P&amp;L'!H31/'P&amp;L'!H47,0)</f>
        <v/>
      </c>
      <c r="I21" s="21">
        <f>IF('P&amp;L'!I47&gt;0,'P&amp;L'!I31/'P&amp;L'!I47,0)</f>
        <v/>
      </c>
      <c r="J21" s="21">
        <f>IF('P&amp;L'!J47&gt;0,'P&amp;L'!J31/'P&amp;L'!J47,0)</f>
        <v/>
      </c>
      <c r="K21" s="21">
        <f>IF('P&amp;L'!K47&gt;0,'P&amp;L'!K31/'P&amp;L'!K47,0)</f>
        <v/>
      </c>
      <c r="L21" s="21">
        <f>IF('P&amp;L'!L47&gt;0,'P&amp;L'!L31/'P&amp;L'!L47,0)</f>
        <v/>
      </c>
      <c r="M21" s="21">
        <f>IF('P&amp;L'!M47&gt;0,'P&amp;L'!M31/'P&amp;L'!M47,0)</f>
        <v/>
      </c>
      <c r="N21" s="21">
        <f>IF('P&amp;L'!N47&gt;0,'P&amp;L'!N31/'P&amp;L'!N47,0)</f>
        <v/>
      </c>
      <c r="O21" s="21">
        <f>IF('P&amp;L'!O47&gt;0,'P&amp;L'!O31/'P&amp;L'!O47,0)</f>
        <v/>
      </c>
      <c r="P21" s="21">
        <f>IF('P&amp;L'!P47&gt;0,'P&amp;L'!P31/'P&amp;L'!P47,0)</f>
        <v/>
      </c>
      <c r="Q21" s="21">
        <f>IF('P&amp;L'!Q47&gt;0,'P&amp;L'!Q31/'P&amp;L'!Q47,0)</f>
        <v/>
      </c>
      <c r="R21" s="21">
        <f>IF('P&amp;L'!R47&gt;0,'P&amp;L'!R31/'P&amp;L'!R47,0)</f>
        <v/>
      </c>
      <c r="S21" s="21">
        <f>IF('P&amp;L'!S47&gt;0,'P&amp;L'!S31/'P&amp;L'!S47,0)</f>
        <v/>
      </c>
      <c r="T21" s="21">
        <f>IF('P&amp;L'!T47&gt;0,'P&amp;L'!T31/'P&amp;L'!T47,0)</f>
        <v/>
      </c>
      <c r="U21" s="21">
        <f>IF('P&amp;L'!U47&gt;0,'P&amp;L'!U31/'P&amp;L'!U47,0)</f>
        <v/>
      </c>
      <c r="V21" s="21">
        <f>IF('P&amp;L'!V47&gt;0,'P&amp;L'!V31/'P&amp;L'!V47,0)</f>
        <v/>
      </c>
      <c r="W21" s="21">
        <f>IF('P&amp;L'!W47&gt;0,'P&amp;L'!W31/'P&amp;L'!W47,0)</f>
        <v/>
      </c>
      <c r="X21" s="21">
        <f>IF('P&amp;L'!X47&gt;0,'P&amp;L'!X31/'P&amp;L'!X47,0)</f>
        <v/>
      </c>
      <c r="Y21" s="21">
        <f>IF('P&amp;L'!Y47&gt;0,'P&amp;L'!Y31/'P&amp;L'!Y47,0)</f>
        <v/>
      </c>
      <c r="Z21" s="21">
        <f>Y21</f>
        <v/>
      </c>
    </row>
    <row r="22">
      <c r="A22" s="5" t="inlineStr">
        <is>
          <t xml:space="preserve">  Doctor SaaS %</t>
        </is>
      </c>
      <c r="B22" s="21">
        <f>IF('P&amp;L'!B47&gt;0,'P&amp;L'!B35/'P&amp;L'!B47,0)</f>
        <v/>
      </c>
      <c r="C22" s="21">
        <f>IF('P&amp;L'!C47&gt;0,'P&amp;L'!C35/'P&amp;L'!C47,0)</f>
        <v/>
      </c>
      <c r="D22" s="21">
        <f>IF('P&amp;L'!D47&gt;0,'P&amp;L'!D35/'P&amp;L'!D47,0)</f>
        <v/>
      </c>
      <c r="E22" s="21">
        <f>IF('P&amp;L'!E47&gt;0,'P&amp;L'!E35/'P&amp;L'!E47,0)</f>
        <v/>
      </c>
      <c r="F22" s="21">
        <f>IF('P&amp;L'!F47&gt;0,'P&amp;L'!F35/'P&amp;L'!F47,0)</f>
        <v/>
      </c>
      <c r="G22" s="21">
        <f>IF('P&amp;L'!G47&gt;0,'P&amp;L'!G35/'P&amp;L'!G47,0)</f>
        <v/>
      </c>
      <c r="H22" s="21">
        <f>IF('P&amp;L'!H47&gt;0,'P&amp;L'!H35/'P&amp;L'!H47,0)</f>
        <v/>
      </c>
      <c r="I22" s="21">
        <f>IF('P&amp;L'!I47&gt;0,'P&amp;L'!I35/'P&amp;L'!I47,0)</f>
        <v/>
      </c>
      <c r="J22" s="21">
        <f>IF('P&amp;L'!J47&gt;0,'P&amp;L'!J35/'P&amp;L'!J47,0)</f>
        <v/>
      </c>
      <c r="K22" s="21">
        <f>IF('P&amp;L'!K47&gt;0,'P&amp;L'!K35/'P&amp;L'!K47,0)</f>
        <v/>
      </c>
      <c r="L22" s="21">
        <f>IF('P&amp;L'!L47&gt;0,'P&amp;L'!L35/'P&amp;L'!L47,0)</f>
        <v/>
      </c>
      <c r="M22" s="21">
        <f>IF('P&amp;L'!M47&gt;0,'P&amp;L'!M35/'P&amp;L'!M47,0)</f>
        <v/>
      </c>
      <c r="N22" s="21">
        <f>IF('P&amp;L'!N47&gt;0,'P&amp;L'!N35/'P&amp;L'!N47,0)</f>
        <v/>
      </c>
      <c r="O22" s="21">
        <f>IF('P&amp;L'!O47&gt;0,'P&amp;L'!O35/'P&amp;L'!O47,0)</f>
        <v/>
      </c>
      <c r="P22" s="21">
        <f>IF('P&amp;L'!P47&gt;0,'P&amp;L'!P35/'P&amp;L'!P47,0)</f>
        <v/>
      </c>
      <c r="Q22" s="21">
        <f>IF('P&amp;L'!Q47&gt;0,'P&amp;L'!Q35/'P&amp;L'!Q47,0)</f>
        <v/>
      </c>
      <c r="R22" s="21">
        <f>IF('P&amp;L'!R47&gt;0,'P&amp;L'!R35/'P&amp;L'!R47,0)</f>
        <v/>
      </c>
      <c r="S22" s="21">
        <f>IF('P&amp;L'!S47&gt;0,'P&amp;L'!S35/'P&amp;L'!S47,0)</f>
        <v/>
      </c>
      <c r="T22" s="21">
        <f>IF('P&amp;L'!T47&gt;0,'P&amp;L'!T35/'P&amp;L'!T47,0)</f>
        <v/>
      </c>
      <c r="U22" s="21">
        <f>IF('P&amp;L'!U47&gt;0,'P&amp;L'!U35/'P&amp;L'!U47,0)</f>
        <v/>
      </c>
      <c r="V22" s="21">
        <f>IF('P&amp;L'!V47&gt;0,'P&amp;L'!V35/'P&amp;L'!V47,0)</f>
        <v/>
      </c>
      <c r="W22" s="21">
        <f>IF('P&amp;L'!W47&gt;0,'P&amp;L'!W35/'P&amp;L'!W47,0)</f>
        <v/>
      </c>
      <c r="X22" s="21">
        <f>IF('P&amp;L'!X47&gt;0,'P&amp;L'!X35/'P&amp;L'!X47,0)</f>
        <v/>
      </c>
      <c r="Y22" s="21">
        <f>IF('P&amp;L'!Y47&gt;0,'P&amp;L'!Y35/'P&amp;L'!Y47,0)</f>
        <v/>
      </c>
      <c r="Z22" s="21">
        <f>Y22</f>
        <v/>
      </c>
    </row>
    <row r="23">
      <c r="A23" s="5" t="inlineStr">
        <is>
          <t xml:space="preserve">  CGM %</t>
        </is>
      </c>
      <c r="B23" s="21">
        <f>IF('P&amp;L'!B47&gt;0,'P&amp;L'!B36/'P&amp;L'!B47,0)</f>
        <v/>
      </c>
      <c r="C23" s="21">
        <f>IF('P&amp;L'!C47&gt;0,'P&amp;L'!C36/'P&amp;L'!C47,0)</f>
        <v/>
      </c>
      <c r="D23" s="21">
        <f>IF('P&amp;L'!D47&gt;0,'P&amp;L'!D36/'P&amp;L'!D47,0)</f>
        <v/>
      </c>
      <c r="E23" s="21">
        <f>IF('P&amp;L'!E47&gt;0,'P&amp;L'!E36/'P&amp;L'!E47,0)</f>
        <v/>
      </c>
      <c r="F23" s="21">
        <f>IF('P&amp;L'!F47&gt;0,'P&amp;L'!F36/'P&amp;L'!F47,0)</f>
        <v/>
      </c>
      <c r="G23" s="21">
        <f>IF('P&amp;L'!G47&gt;0,'P&amp;L'!G36/'P&amp;L'!G47,0)</f>
        <v/>
      </c>
      <c r="H23" s="21">
        <f>IF('P&amp;L'!H47&gt;0,'P&amp;L'!H36/'P&amp;L'!H47,0)</f>
        <v/>
      </c>
      <c r="I23" s="21">
        <f>IF('P&amp;L'!I47&gt;0,'P&amp;L'!I36/'P&amp;L'!I47,0)</f>
        <v/>
      </c>
      <c r="J23" s="21">
        <f>IF('P&amp;L'!J47&gt;0,'P&amp;L'!J36/'P&amp;L'!J47,0)</f>
        <v/>
      </c>
      <c r="K23" s="21">
        <f>IF('P&amp;L'!K47&gt;0,'P&amp;L'!K36/'P&amp;L'!K47,0)</f>
        <v/>
      </c>
      <c r="L23" s="21">
        <f>IF('P&amp;L'!L47&gt;0,'P&amp;L'!L36/'P&amp;L'!L47,0)</f>
        <v/>
      </c>
      <c r="M23" s="21">
        <f>IF('P&amp;L'!M47&gt;0,'P&amp;L'!M36/'P&amp;L'!M47,0)</f>
        <v/>
      </c>
      <c r="N23" s="21">
        <f>IF('P&amp;L'!N47&gt;0,'P&amp;L'!N36/'P&amp;L'!N47,0)</f>
        <v/>
      </c>
      <c r="O23" s="21">
        <f>IF('P&amp;L'!O47&gt;0,'P&amp;L'!O36/'P&amp;L'!O47,0)</f>
        <v/>
      </c>
      <c r="P23" s="21">
        <f>IF('P&amp;L'!P47&gt;0,'P&amp;L'!P36/'P&amp;L'!P47,0)</f>
        <v/>
      </c>
      <c r="Q23" s="21">
        <f>IF('P&amp;L'!Q47&gt;0,'P&amp;L'!Q36/'P&amp;L'!Q47,0)</f>
        <v/>
      </c>
      <c r="R23" s="21">
        <f>IF('P&amp;L'!R47&gt;0,'P&amp;L'!R36/'P&amp;L'!R47,0)</f>
        <v/>
      </c>
      <c r="S23" s="21">
        <f>IF('P&amp;L'!S47&gt;0,'P&amp;L'!S36/'P&amp;L'!S47,0)</f>
        <v/>
      </c>
      <c r="T23" s="21">
        <f>IF('P&amp;L'!T47&gt;0,'P&amp;L'!T36/'P&amp;L'!T47,0)</f>
        <v/>
      </c>
      <c r="U23" s="21">
        <f>IF('P&amp;L'!U47&gt;0,'P&amp;L'!U36/'P&amp;L'!U47,0)</f>
        <v/>
      </c>
      <c r="V23" s="21">
        <f>IF('P&amp;L'!V47&gt;0,'P&amp;L'!V36/'P&amp;L'!V47,0)</f>
        <v/>
      </c>
      <c r="W23" s="21">
        <f>IF('P&amp;L'!W47&gt;0,'P&amp;L'!W36/'P&amp;L'!W47,0)</f>
        <v/>
      </c>
      <c r="X23" s="21">
        <f>IF('P&amp;L'!X47&gt;0,'P&amp;L'!X36/'P&amp;L'!X47,0)</f>
        <v/>
      </c>
      <c r="Y23" s="21">
        <f>IF('P&amp;L'!Y47&gt;0,'P&amp;L'!Y36/'P&amp;L'!Y47,0)</f>
        <v/>
      </c>
      <c r="Z23" s="21">
        <f>Y23</f>
        <v/>
      </c>
    </row>
    <row r="24">
      <c r="A24" s="5" t="inlineStr">
        <is>
          <t xml:space="preserve">  B2B Corporate %</t>
        </is>
      </c>
      <c r="B24" s="21">
        <f>IF('P&amp;L'!B47&gt;0,'P&amp;L'!B44/'P&amp;L'!B47,0)</f>
        <v/>
      </c>
      <c r="C24" s="21">
        <f>IF('P&amp;L'!C47&gt;0,'P&amp;L'!C44/'P&amp;L'!C47,0)</f>
        <v/>
      </c>
      <c r="D24" s="21">
        <f>IF('P&amp;L'!D47&gt;0,'P&amp;L'!D44/'P&amp;L'!D47,0)</f>
        <v/>
      </c>
      <c r="E24" s="21">
        <f>IF('P&amp;L'!E47&gt;0,'P&amp;L'!E44/'P&amp;L'!E47,0)</f>
        <v/>
      </c>
      <c r="F24" s="21">
        <f>IF('P&amp;L'!F47&gt;0,'P&amp;L'!F44/'P&amp;L'!F47,0)</f>
        <v/>
      </c>
      <c r="G24" s="21">
        <f>IF('P&amp;L'!G47&gt;0,'P&amp;L'!G44/'P&amp;L'!G47,0)</f>
        <v/>
      </c>
      <c r="H24" s="21">
        <f>IF('P&amp;L'!H47&gt;0,'P&amp;L'!H44/'P&amp;L'!H47,0)</f>
        <v/>
      </c>
      <c r="I24" s="21">
        <f>IF('P&amp;L'!I47&gt;0,'P&amp;L'!I44/'P&amp;L'!I47,0)</f>
        <v/>
      </c>
      <c r="J24" s="21">
        <f>IF('P&amp;L'!J47&gt;0,'P&amp;L'!J44/'P&amp;L'!J47,0)</f>
        <v/>
      </c>
      <c r="K24" s="21">
        <f>IF('P&amp;L'!K47&gt;0,'P&amp;L'!K44/'P&amp;L'!K47,0)</f>
        <v/>
      </c>
      <c r="L24" s="21">
        <f>IF('P&amp;L'!L47&gt;0,'P&amp;L'!L44/'P&amp;L'!L47,0)</f>
        <v/>
      </c>
      <c r="M24" s="21">
        <f>IF('P&amp;L'!M47&gt;0,'P&amp;L'!M44/'P&amp;L'!M47,0)</f>
        <v/>
      </c>
      <c r="N24" s="21">
        <f>IF('P&amp;L'!N47&gt;0,'P&amp;L'!N44/'P&amp;L'!N47,0)</f>
        <v/>
      </c>
      <c r="O24" s="21">
        <f>IF('P&amp;L'!O47&gt;0,'P&amp;L'!O44/'P&amp;L'!O47,0)</f>
        <v/>
      </c>
      <c r="P24" s="21">
        <f>IF('P&amp;L'!P47&gt;0,'P&amp;L'!P44/'P&amp;L'!P47,0)</f>
        <v/>
      </c>
      <c r="Q24" s="21">
        <f>IF('P&amp;L'!Q47&gt;0,'P&amp;L'!Q44/'P&amp;L'!Q47,0)</f>
        <v/>
      </c>
      <c r="R24" s="21">
        <f>IF('P&amp;L'!R47&gt;0,'P&amp;L'!R44/'P&amp;L'!R47,0)</f>
        <v/>
      </c>
      <c r="S24" s="21">
        <f>IF('P&amp;L'!S47&gt;0,'P&amp;L'!S44/'P&amp;L'!S47,0)</f>
        <v/>
      </c>
      <c r="T24" s="21">
        <f>IF('P&amp;L'!T47&gt;0,'P&amp;L'!T44/'P&amp;L'!T47,0)</f>
        <v/>
      </c>
      <c r="U24" s="21">
        <f>IF('P&amp;L'!U47&gt;0,'P&amp;L'!U44/'P&amp;L'!U47,0)</f>
        <v/>
      </c>
      <c r="V24" s="21">
        <f>IF('P&amp;L'!V47&gt;0,'P&amp;L'!V44/'P&amp;L'!V47,0)</f>
        <v/>
      </c>
      <c r="W24" s="21">
        <f>IF('P&amp;L'!W47&gt;0,'P&amp;L'!W44/'P&amp;L'!W47,0)</f>
        <v/>
      </c>
      <c r="X24" s="21">
        <f>IF('P&amp;L'!X47&gt;0,'P&amp;L'!X44/'P&amp;L'!X47,0)</f>
        <v/>
      </c>
      <c r="Y24" s="21">
        <f>IF('P&amp;L'!Y47&gt;0,'P&amp;L'!Y44/'P&amp;L'!Y47,0)</f>
        <v/>
      </c>
      <c r="Z24" s="21">
        <f>Y24</f>
        <v/>
      </c>
    </row>
    <row r="25">
      <c r="A25" s="5" t="inlineStr">
        <is>
          <t xml:space="preserve">  Gift Cards %</t>
        </is>
      </c>
      <c r="B25" s="21">
        <f>IF('P&amp;L'!B47&gt;0,'P&amp;L'!B45/'P&amp;L'!B47,0)</f>
        <v/>
      </c>
      <c r="C25" s="21">
        <f>IF('P&amp;L'!C47&gt;0,'P&amp;L'!C45/'P&amp;L'!C47,0)</f>
        <v/>
      </c>
      <c r="D25" s="21">
        <f>IF('P&amp;L'!D47&gt;0,'P&amp;L'!D45/'P&amp;L'!D47,0)</f>
        <v/>
      </c>
      <c r="E25" s="21">
        <f>IF('P&amp;L'!E47&gt;0,'P&amp;L'!E45/'P&amp;L'!E47,0)</f>
        <v/>
      </c>
      <c r="F25" s="21">
        <f>IF('P&amp;L'!F47&gt;0,'P&amp;L'!F45/'P&amp;L'!F47,0)</f>
        <v/>
      </c>
      <c r="G25" s="21">
        <f>IF('P&amp;L'!G47&gt;0,'P&amp;L'!G45/'P&amp;L'!G47,0)</f>
        <v/>
      </c>
      <c r="H25" s="21">
        <f>IF('P&amp;L'!H47&gt;0,'P&amp;L'!H45/'P&amp;L'!H47,0)</f>
        <v/>
      </c>
      <c r="I25" s="21">
        <f>IF('P&amp;L'!I47&gt;0,'P&amp;L'!I45/'P&amp;L'!I47,0)</f>
        <v/>
      </c>
      <c r="J25" s="21">
        <f>IF('P&amp;L'!J47&gt;0,'P&amp;L'!J45/'P&amp;L'!J47,0)</f>
        <v/>
      </c>
      <c r="K25" s="21">
        <f>IF('P&amp;L'!K47&gt;0,'P&amp;L'!K45/'P&amp;L'!K47,0)</f>
        <v/>
      </c>
      <c r="L25" s="21">
        <f>IF('P&amp;L'!L47&gt;0,'P&amp;L'!L45/'P&amp;L'!L47,0)</f>
        <v/>
      </c>
      <c r="M25" s="21">
        <f>IF('P&amp;L'!M47&gt;0,'P&amp;L'!M45/'P&amp;L'!M47,0)</f>
        <v/>
      </c>
      <c r="N25" s="21">
        <f>IF('P&amp;L'!N47&gt;0,'P&amp;L'!N45/'P&amp;L'!N47,0)</f>
        <v/>
      </c>
      <c r="O25" s="21">
        <f>IF('P&amp;L'!O47&gt;0,'P&amp;L'!O45/'P&amp;L'!O47,0)</f>
        <v/>
      </c>
      <c r="P25" s="21">
        <f>IF('P&amp;L'!P47&gt;0,'P&amp;L'!P45/'P&amp;L'!P47,0)</f>
        <v/>
      </c>
      <c r="Q25" s="21">
        <f>IF('P&amp;L'!Q47&gt;0,'P&amp;L'!Q45/'P&amp;L'!Q47,0)</f>
        <v/>
      </c>
      <c r="R25" s="21">
        <f>IF('P&amp;L'!R47&gt;0,'P&amp;L'!R45/'P&amp;L'!R47,0)</f>
        <v/>
      </c>
      <c r="S25" s="21">
        <f>IF('P&amp;L'!S47&gt;0,'P&amp;L'!S45/'P&amp;L'!S47,0)</f>
        <v/>
      </c>
      <c r="T25" s="21">
        <f>IF('P&amp;L'!T47&gt;0,'P&amp;L'!T45/'P&amp;L'!T47,0)</f>
        <v/>
      </c>
      <c r="U25" s="21">
        <f>IF('P&amp;L'!U47&gt;0,'P&amp;L'!U45/'P&amp;L'!U47,0)</f>
        <v/>
      </c>
      <c r="V25" s="21">
        <f>IF('P&amp;L'!V47&gt;0,'P&amp;L'!V45/'P&amp;L'!V47,0)</f>
        <v/>
      </c>
      <c r="W25" s="21">
        <f>IF('P&amp;L'!W47&gt;0,'P&amp;L'!W45/'P&amp;L'!W47,0)</f>
        <v/>
      </c>
      <c r="X25" s="21">
        <f>IF('P&amp;L'!X47&gt;0,'P&amp;L'!X45/'P&amp;L'!X47,0)</f>
        <v/>
      </c>
      <c r="Y25" s="21">
        <f>IF('P&amp;L'!Y47&gt;0,'P&amp;L'!Y45/'P&amp;L'!Y47,0)</f>
        <v/>
      </c>
      <c r="Z25" s="21">
        <f>Y25</f>
        <v/>
      </c>
    </row>
    <row r="26">
      <c r="A26" s="5" t="inlineStr">
        <is>
          <t xml:space="preserve">  Subscriptions %</t>
        </is>
      </c>
      <c r="B26" s="21">
        <f>IF('P&amp;L'!B47&gt;0,'P&amp;L'!B42/'P&amp;L'!B47,0)</f>
        <v/>
      </c>
      <c r="C26" s="21">
        <f>IF('P&amp;L'!C47&gt;0,'P&amp;L'!C42/'P&amp;L'!C47,0)</f>
        <v/>
      </c>
      <c r="D26" s="21">
        <f>IF('P&amp;L'!D47&gt;0,'P&amp;L'!D42/'P&amp;L'!D47,0)</f>
        <v/>
      </c>
      <c r="E26" s="21">
        <f>IF('P&amp;L'!E47&gt;0,'P&amp;L'!E42/'P&amp;L'!E47,0)</f>
        <v/>
      </c>
      <c r="F26" s="21">
        <f>IF('P&amp;L'!F47&gt;0,'P&amp;L'!F42/'P&amp;L'!F47,0)</f>
        <v/>
      </c>
      <c r="G26" s="21">
        <f>IF('P&amp;L'!G47&gt;0,'P&amp;L'!G42/'P&amp;L'!G47,0)</f>
        <v/>
      </c>
      <c r="H26" s="21">
        <f>IF('P&amp;L'!H47&gt;0,'P&amp;L'!H42/'P&amp;L'!H47,0)</f>
        <v/>
      </c>
      <c r="I26" s="21">
        <f>IF('P&amp;L'!I47&gt;0,'P&amp;L'!I42/'P&amp;L'!I47,0)</f>
        <v/>
      </c>
      <c r="J26" s="21">
        <f>IF('P&amp;L'!J47&gt;0,'P&amp;L'!J42/'P&amp;L'!J47,0)</f>
        <v/>
      </c>
      <c r="K26" s="21">
        <f>IF('P&amp;L'!K47&gt;0,'P&amp;L'!K42/'P&amp;L'!K47,0)</f>
        <v/>
      </c>
      <c r="L26" s="21">
        <f>IF('P&amp;L'!L47&gt;0,'P&amp;L'!L42/'P&amp;L'!L47,0)</f>
        <v/>
      </c>
      <c r="M26" s="21">
        <f>IF('P&amp;L'!M47&gt;0,'P&amp;L'!M42/'P&amp;L'!M47,0)</f>
        <v/>
      </c>
      <c r="N26" s="21">
        <f>IF('P&amp;L'!N47&gt;0,'P&amp;L'!N42/'P&amp;L'!N47,0)</f>
        <v/>
      </c>
      <c r="O26" s="21">
        <f>IF('P&amp;L'!O47&gt;0,'P&amp;L'!O42/'P&amp;L'!O47,0)</f>
        <v/>
      </c>
      <c r="P26" s="21">
        <f>IF('P&amp;L'!P47&gt;0,'P&amp;L'!P42/'P&amp;L'!P47,0)</f>
        <v/>
      </c>
      <c r="Q26" s="21">
        <f>IF('P&amp;L'!Q47&gt;0,'P&amp;L'!Q42/'P&amp;L'!Q47,0)</f>
        <v/>
      </c>
      <c r="R26" s="21">
        <f>IF('P&amp;L'!R47&gt;0,'P&amp;L'!R42/'P&amp;L'!R47,0)</f>
        <v/>
      </c>
      <c r="S26" s="21">
        <f>IF('P&amp;L'!S47&gt;0,'P&amp;L'!S42/'P&amp;L'!S47,0)</f>
        <v/>
      </c>
      <c r="T26" s="21">
        <f>IF('P&amp;L'!T47&gt;0,'P&amp;L'!T42/'P&amp;L'!T47,0)</f>
        <v/>
      </c>
      <c r="U26" s="21">
        <f>IF('P&amp;L'!U47&gt;0,'P&amp;L'!U42/'P&amp;L'!U47,0)</f>
        <v/>
      </c>
      <c r="V26" s="21">
        <f>IF('P&amp;L'!V47&gt;0,'P&amp;L'!V42/'P&amp;L'!V47,0)</f>
        <v/>
      </c>
      <c r="W26" s="21">
        <f>IF('P&amp;L'!W47&gt;0,'P&amp;L'!W42/'P&amp;L'!W47,0)</f>
        <v/>
      </c>
      <c r="X26" s="21">
        <f>IF('P&amp;L'!X47&gt;0,'P&amp;L'!X42/'P&amp;L'!X47,0)</f>
        <v/>
      </c>
      <c r="Y26" s="21">
        <f>IF('P&amp;L'!Y47&gt;0,'P&amp;L'!Y42/'P&amp;L'!Y47,0)</f>
        <v/>
      </c>
      <c r="Z26" s="21">
        <f>Y26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E948A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alche — Scenario Summary</t>
        </is>
      </c>
    </row>
    <row r="2">
      <c r="A2" s="2" t="inlineStr">
        <is>
          <t>Base = current model. Bull/Bear use multipliers from Assumptions sheet.</t>
        </is>
      </c>
    </row>
    <row r="4">
      <c r="A4" s="3" t="inlineStr">
        <is>
          <t>Metric</t>
        </is>
      </c>
      <c r="B4" s="3" t="inlineStr">
        <is>
          <t>BASE</t>
        </is>
      </c>
      <c r="C4" s="3" t="inlineStr">
        <is>
          <t>BULL (1.3x rev)</t>
        </is>
      </c>
      <c r="D4" s="3" t="inlineStr">
        <is>
          <t>BEAR (0.6x rev)</t>
        </is>
      </c>
    </row>
    <row r="5">
      <c r="A5" s="17" t="inlineStr">
        <is>
          <t>Total Revenue (24-mo)</t>
        </is>
      </c>
      <c r="B5" s="47">
        <f>'P&amp;L'!Z47</f>
        <v/>
      </c>
      <c r="C5" s="47">
        <f>ROUND('P&amp;L'!Z47*Assumptions!B121,0)</f>
        <v/>
      </c>
      <c r="D5" s="47">
        <f>ROUND('P&amp;L'!Z47*Assumptions!B123,0)</f>
        <v/>
      </c>
    </row>
    <row r="6">
      <c r="A6" s="17" t="inlineStr">
        <is>
          <t>Total COGS (24-mo)</t>
        </is>
      </c>
      <c r="B6" s="47">
        <f>'P&amp;L'!Z64</f>
        <v/>
      </c>
      <c r="C6" s="47">
        <f>ROUND('P&amp;L'!Z64*Assumptions!B121,0)</f>
        <v/>
      </c>
      <c r="D6" s="47">
        <f>ROUND('P&amp;L'!Z64*Assumptions!B123,0)</f>
        <v/>
      </c>
    </row>
    <row r="7">
      <c r="A7" s="17" t="inlineStr">
        <is>
          <t>Gross Profit (24-mo)</t>
        </is>
      </c>
      <c r="B7" s="47">
        <f>'P&amp;L'!Z66</f>
        <v/>
      </c>
      <c r="C7" s="47">
        <f>C5-C6</f>
        <v/>
      </c>
      <c r="D7" s="47">
        <f>ROUND('P&amp;L'!Z66*Assumptions!B123,0)</f>
        <v/>
      </c>
    </row>
    <row r="8">
      <c r="A8" s="17" t="inlineStr">
        <is>
          <t>Total OpEx (24-mo)</t>
        </is>
      </c>
      <c r="B8" s="47">
        <f>'P&amp;L'!Z124</f>
        <v/>
      </c>
      <c r="C8" s="47">
        <f>ROUND('P&amp;L'!Z124*(0.85+0.15*Assumptions!B121),0)</f>
        <v/>
      </c>
      <c r="D8" s="47">
        <f>ROUND('P&amp;L'!Z124*(0.85+0.15*Assumptions!B123),0)</f>
        <v/>
      </c>
    </row>
    <row r="9">
      <c r="A9" s="17" t="inlineStr">
        <is>
          <t>Total CapEx (24-mo)</t>
        </is>
      </c>
      <c r="B9" s="47">
        <f>'P&amp;L'!Z160</f>
        <v/>
      </c>
      <c r="C9" s="47">
        <f>'P&amp;L'!Z160</f>
        <v/>
      </c>
      <c r="D9" s="47">
        <f>'P&amp;L'!Z160</f>
        <v/>
      </c>
    </row>
    <row r="10">
      <c r="A10" s="17" t="inlineStr">
        <is>
          <t>EBITDA (24-mo)</t>
        </is>
      </c>
      <c r="B10" s="47">
        <f>B7-B8</f>
        <v/>
      </c>
      <c r="C10" s="47">
        <f>C7-C8</f>
        <v/>
      </c>
      <c r="D10" s="47">
        <f>D7-D8</f>
        <v/>
      </c>
    </row>
    <row r="11">
      <c r="A11" s="17" t="inlineStr">
        <is>
          <t>Net P&amp;L (24-mo, pre-tax)</t>
        </is>
      </c>
      <c r="B11" s="47">
        <f>B10-B9</f>
        <v/>
      </c>
      <c r="C11" s="47">
        <f>C10-C9</f>
        <v/>
      </c>
      <c r="D11" s="47">
        <f>D10-D9</f>
        <v/>
      </c>
    </row>
    <row r="12">
      <c r="A12" s="17" t="inlineStr">
        <is>
          <t>Estimated Cash at M24</t>
        </is>
      </c>
      <c r="B12" s="47">
        <f>Assumptions!B142+B11</f>
        <v/>
      </c>
      <c r="C12" s="47">
        <f>Assumptions!B142+C11</f>
        <v/>
      </c>
      <c r="D12" s="47">
        <f>Assumptions!B142+D11</f>
        <v/>
      </c>
    </row>
    <row r="14">
      <c r="A14" s="9" t="inlineStr">
        <is>
          <t>INTERPRETATION</t>
        </is>
      </c>
      <c r="B14" s="29" t="n"/>
      <c r="C14" s="29" t="n"/>
      <c r="D14" s="29" t="n"/>
    </row>
    <row r="15">
      <c r="A15" s="48" t="inlineStr">
        <is>
          <t>Bear case: shows if EUR 500K is sufficient</t>
        </is>
      </c>
    </row>
    <row r="16">
      <c r="A16" s="2" t="inlineStr">
        <is>
          <t>If Bear cash &lt; 0 → raise needs to increase or scope must be reduced</t>
        </is>
      </c>
    </row>
    <row r="17">
      <c r="A17" s="2" t="inlineStr">
        <is>
          <t>Bull case: shows working capital stress at higher volume (P5)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6B4A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25" customWidth="1" min="4" max="4"/>
    <col width="40" customWidth="1" min="5" max="5"/>
  </cols>
  <sheetData>
    <row r="1">
      <c r="A1" s="1" t="inlineStr">
        <is>
          <t>alche — Decision Log (D1-D11) + Persona Audit</t>
        </is>
      </c>
    </row>
    <row r="2">
      <c r="A2" s="2" t="inlineStr">
        <is>
          <t>All decisions from P&amp;L sessions, 2026-02-22/23. 7 persona audits completed.</t>
        </is>
      </c>
    </row>
    <row r="4">
      <c r="A4" s="4" t="inlineStr">
        <is>
          <t>#</t>
        </is>
      </c>
      <c r="B4" s="4" t="inlineStr">
        <is>
          <t>Decision</t>
        </is>
      </c>
      <c r="C4" s="4" t="inlineStr">
        <is>
          <t>Choice Made</t>
        </is>
      </c>
      <c r="D4" s="4" t="inlineStr">
        <is>
          <t>Old Value</t>
        </is>
      </c>
      <c r="E4" s="4" t="inlineStr">
        <is>
          <t>P&amp;L Impact</t>
        </is>
      </c>
    </row>
    <row r="5">
      <c r="A5" s="49" t="inlineStr">
        <is>
          <t>D1</t>
        </is>
      </c>
      <c r="B5" s="50" t="inlineStr">
        <is>
          <t>Doctor Revenue</t>
        </is>
      </c>
      <c r="C5" s="50" t="inlineStr">
        <is>
          <t>C. SaaS EUR 99/mo × 20 clinics</t>
        </is>
      </c>
      <c r="D5" s="50" t="inlineStr">
        <is>
          <t>EUR 150/mo × 865</t>
        </is>
      </c>
      <c r="E5" s="50" t="inlineStr">
        <is>
          <t>Revenue -75%; legally safe (StGB §299a)</t>
        </is>
      </c>
    </row>
    <row r="6">
      <c r="A6" s="49" t="inlineStr">
        <is>
          <t>D2</t>
        </is>
      </c>
      <c r="B6" s="50" t="inlineStr">
        <is>
          <t>Restaurant Revenue</t>
        </is>
      </c>
      <c r="C6" s="50" t="inlineStr">
        <is>
          <t>B. Phase 2 (500+ users)</t>
        </is>
      </c>
      <c r="D6" s="50" t="inlineStr">
        <is>
          <t>EUR 1.50/cover M6+</t>
        </is>
      </c>
      <c r="E6" s="50" t="inlineStr">
        <is>
          <t>EUR 0 all 24 months</t>
        </is>
      </c>
    </row>
    <row r="7">
      <c r="A7" s="49" t="inlineStr">
        <is>
          <t>D3</t>
        </is>
      </c>
      <c r="B7" s="50" t="inlineStr">
        <is>
          <t>CGM Hardware</t>
        </is>
      </c>
      <c r="C7" s="50" t="inlineStr">
        <is>
          <t>Commission — Premium 3-mo gate or add-on</t>
        </is>
      </c>
      <c r="D7" s="50" t="inlineStr">
        <is>
          <t>EUR 130 × units (old)</t>
        </is>
      </c>
      <c r="E7" s="50" t="inlineStr">
        <is>
          <t>EUR 15/user/mo referral commission; starts M7; Premium gate 3-mo; COGS = 0</t>
        </is>
      </c>
    </row>
    <row r="8">
      <c r="A8" s="49" t="inlineStr">
        <is>
          <t>D4</t>
        </is>
      </c>
      <c r="B8" s="50" t="inlineStr">
        <is>
          <t>Physical Space</t>
        </is>
      </c>
      <c r="C8" s="50" t="inlineStr">
        <is>
          <t>A. Smoothie bar + space</t>
        </is>
      </c>
      <c r="D8" s="50" t="inlineStr">
        <is>
          <t>EUR 0</t>
        </is>
      </c>
      <c r="E8" s="50" t="inlineStr">
        <is>
          <t>New rev + EUR 2,825/mo (rent+Nebenkosten) + CapEx</t>
        </is>
      </c>
    </row>
    <row r="9">
      <c r="A9" s="49" t="inlineStr">
        <is>
          <t>D5</t>
        </is>
      </c>
      <c r="B9" s="50" t="inlineStr">
        <is>
          <t>CapEx Section</t>
        </is>
      </c>
      <c r="C9" s="50" t="inlineStr">
        <is>
          <t>Yes, include</t>
        </is>
      </c>
      <c r="D9" s="50" t="inlineStr">
        <is>
          <t>All OpEx</t>
        </is>
      </c>
      <c r="E9" s="50" t="inlineStr">
        <is>
          <t>EUR ~148K total (v3.3: +EUR 50K Ablöse)</t>
        </is>
      </c>
    </row>
    <row r="10">
      <c r="A10" s="49" t="inlineStr">
        <is>
          <t>D6</t>
        </is>
      </c>
      <c r="B10" s="50" t="inlineStr">
        <is>
          <t>AI Cost Model</t>
        </is>
      </c>
      <c r="C10" s="50" t="inlineStr">
        <is>
          <t>Both internal + user-facing</t>
        </is>
      </c>
      <c r="D10" s="50" t="inlineStr">
        <is>
          <t>EUR 210 + EUR 499 Terra</t>
        </is>
      </c>
      <c r="E10" s="50" t="inlineStr">
        <is>
          <t>EUR 210 + EUR 0.35/sub (R9)</t>
        </is>
      </c>
    </row>
    <row r="11">
      <c r="A11" s="49" t="inlineStr">
        <is>
          <t>D7</t>
        </is>
      </c>
      <c r="B11" s="50" t="inlineStr">
        <is>
          <t>Product Waste</t>
        </is>
      </c>
      <c r="C11" s="50" t="inlineStr">
        <is>
          <t>Category-weighted</t>
        </is>
      </c>
      <c r="D11" s="50" t="inlineStr">
        <is>
          <t>Flat 5%</t>
        </is>
      </c>
      <c r="E11" s="50" t="inlineStr">
        <is>
          <t>5.5% blended</t>
        </is>
      </c>
    </row>
    <row r="12">
      <c r="A12" s="49" t="inlineStr">
        <is>
          <t>D8</t>
        </is>
      </c>
      <c r="B12" s="50" t="inlineStr">
        <is>
          <t>Terra CGM API</t>
        </is>
      </c>
      <c r="C12" s="50" t="inlineStr">
        <is>
          <t>Defer — free HealthKit</t>
        </is>
      </c>
      <c r="D12" s="50" t="inlineStr">
        <is>
          <t>EUR 499/mo M6+</t>
        </is>
      </c>
      <c r="E12" s="50" t="inlineStr">
        <is>
          <t>Saves EUR 9,481</t>
        </is>
      </c>
    </row>
    <row r="13">
      <c r="A13" s="49" t="inlineStr">
        <is>
          <t>D9</t>
        </is>
      </c>
      <c r="B13" s="50" t="inlineStr">
        <is>
          <t>SaaS Stack</t>
        </is>
      </c>
      <c r="C13" s="50" t="inlineStr">
        <is>
          <t>Itemized (R8)</t>
        </is>
      </c>
      <c r="D13" s="50" t="inlineStr">
        <is>
          <t>EUR 350→1800</t>
        </is>
      </c>
      <c r="E13" s="50" t="inlineStr">
        <is>
          <t>EUR 338→500→750</t>
        </is>
      </c>
    </row>
    <row r="14">
      <c r="A14" s="49" t="inlineStr">
        <is>
          <t>D10</t>
        </is>
      </c>
      <c r="B14" s="50" t="inlineStr">
        <is>
          <t>Menu Analysis</t>
        </is>
      </c>
      <c r="C14" s="50" t="inlineStr">
        <is>
          <t>EUR 0 — founders do it</t>
        </is>
      </c>
      <c r="D14" s="50" t="inlineStr">
        <is>
          <t>EUR 500/mo</t>
        </is>
      </c>
      <c r="E14" s="50" t="inlineStr">
        <is>
          <t>Saves EUR 12,000</t>
        </is>
      </c>
    </row>
    <row r="15">
      <c r="A15" s="49" t="inlineStr">
        <is>
          <t>D11</t>
        </is>
      </c>
      <c r="B15" s="50" t="inlineStr">
        <is>
          <t>Retail Products</t>
        </is>
      </c>
      <c r="C15" s="50" t="inlineStr">
        <is>
          <t>EUR 49 validated; COGS EUR 23.50; 3PL from M4</t>
        </is>
      </c>
      <c r="D15" s="50" t="inlineStr">
        <is>
          <t>EUR 11.50 COGS; 3PL from M6</t>
        </is>
      </c>
      <c r="E15" s="50" t="inlineStr">
        <is>
          <t>Margin 76% → 52% (R10); 3PL start moved M6 → M4 (space opens M4)</t>
        </is>
      </c>
    </row>
    <row r="18">
      <c r="A18" s="9" t="inlineStr">
        <is>
          <t>MODEL CORRECTIONS (v3.1 / v3.2)</t>
        </is>
      </c>
      <c r="B18" s="29" t="n"/>
      <c r="C18" s="29" t="n"/>
      <c r="D18" s="29" t="n"/>
      <c r="E18" s="29" t="n"/>
    </row>
    <row r="19">
      <c r="A19" s="4" t="inlineStr">
        <is>
          <t>#</t>
        </is>
      </c>
      <c r="B19" s="4" t="inlineStr">
        <is>
          <t>Correction</t>
        </is>
      </c>
      <c r="C19" s="4" t="inlineStr">
        <is>
          <t>Change Made</t>
        </is>
      </c>
      <c r="D19" s="4" t="inlineStr">
        <is>
          <t>Previous</t>
        </is>
      </c>
      <c r="E19" s="4" t="inlineStr">
        <is>
          <t>Impact</t>
        </is>
      </c>
    </row>
    <row r="20">
      <c r="A20" s="51" t="inlineStr">
        <is>
          <t>v3.1</t>
        </is>
      </c>
      <c r="B20" s="50" t="inlineStr">
        <is>
          <t>Growth Marketer removed</t>
        </is>
      </c>
      <c r="C20" s="50" t="inlineStr">
        <is>
          <t>Timu IS the growth marketer</t>
        </is>
      </c>
      <c r="D20" s="50" t="inlineStr">
        <is>
          <t>EUR 4,500/mo from M12</t>
        </is>
      </c>
      <c r="E20" s="50" t="inlineStr">
        <is>
          <t>Saves EUR 73K (M12-M24)</t>
        </is>
      </c>
    </row>
    <row r="21">
      <c r="A21" s="51" t="inlineStr">
        <is>
          <t>v3.1</t>
        </is>
      </c>
      <c r="B21" s="50" t="inlineStr">
        <is>
          <t>Subscribers gated to M4+</t>
        </is>
      </c>
      <c r="C21" s="50" t="inlineStr">
        <is>
          <t>App launches with space</t>
        </is>
      </c>
      <c r="D21" s="50" t="inlineStr">
        <is>
          <t>3 new subs/mo from M1</t>
        </is>
      </c>
      <c r="E21" s="50" t="inlineStr">
        <is>
          <t>M1-M3: zero subs, zero sub revenue</t>
        </is>
      </c>
    </row>
    <row r="22">
      <c r="A22" s="51" t="inlineStr">
        <is>
          <t>v3.1</t>
        </is>
      </c>
      <c r="B22" s="50" t="inlineStr">
        <is>
          <t>UX/UI → CapEx</t>
        </is>
      </c>
      <c r="C22" s="50" t="inlineStr">
        <is>
          <t>EUR 15K one-off App Design (M1)</t>
        </is>
      </c>
      <c r="D22" s="50" t="inlineStr">
        <is>
          <t>EUR 800/mo OpEx</t>
        </is>
      </c>
      <c r="E22" s="50" t="inlineStr">
        <is>
          <t>Saves EUR 19.2K OpEx, adds EUR 15K CapEx</t>
        </is>
      </c>
    </row>
    <row r="23">
      <c r="A23" s="51" t="inlineStr">
        <is>
          <t>v3.1</t>
        </is>
      </c>
      <c r="B23" s="50" t="inlineStr">
        <is>
          <t>B19 note update</t>
        </is>
      </c>
      <c r="C23" s="50" t="inlineStr">
        <is>
          <t>'Scaling phase'</t>
        </is>
      </c>
      <c r="D23" s="50" t="inlineStr">
        <is>
          <t>'Growth marketer effect'</t>
        </is>
      </c>
      <c r="E23" s="50" t="inlineStr">
        <is>
          <t>Label only — no financial impact</t>
        </is>
      </c>
    </row>
    <row r="24">
      <c r="A24" s="51" t="inlineStr">
        <is>
          <t>v3.2</t>
        </is>
      </c>
      <c r="B24" s="50" t="inlineStr">
        <is>
          <t>LED therapy → free</t>
        </is>
      </c>
      <c r="C24" s="50" t="inlineStr">
        <is>
          <t>EUR 0 price, self-service</t>
        </is>
      </c>
      <c r="D24" s="50" t="inlineStr">
        <is>
          <t>EUR 45/session, EUR 25 practitioner</t>
        </is>
      </c>
      <c r="E24" s="50" t="inlineStr">
        <is>
          <t>Forgoes ~EUR 151K rev, saves ~EUR 84K COGS</t>
        </is>
      </c>
    </row>
    <row r="25">
      <c r="A25" s="51" t="inlineStr">
        <is>
          <t>v3.3</t>
        </is>
      </c>
      <c r="B25" s="50" t="inlineStr">
        <is>
          <t>Ablöse (key money) added</t>
        </is>
      </c>
      <c r="C25" s="50" t="inlineStr">
        <is>
          <t>EUR 50K M3 CapEx, amortized 36mo</t>
        </is>
      </c>
      <c r="D25" s="50" t="inlineStr">
        <is>
          <t>Not modeled</t>
        </is>
      </c>
      <c r="E25" s="50" t="inlineStr">
        <is>
          <t>CapEx EUR 98K → EUR 148K; tighter runway</t>
        </is>
      </c>
    </row>
    <row r="26">
      <c r="A26" s="51" t="inlineStr">
        <is>
          <t>v3.3</t>
        </is>
      </c>
      <c r="B26" s="50" t="inlineStr">
        <is>
          <t>Kaution (security deposit)</t>
        </is>
      </c>
      <c r="C26" s="50" t="inlineStr">
        <is>
          <t>EUR 7.5K M3 cash outflow</t>
        </is>
      </c>
      <c r="D26" s="50" t="inlineStr">
        <is>
          <t>Not modeled</t>
        </is>
      </c>
      <c r="E26" s="50" t="inlineStr">
        <is>
          <t>Cash Flow only — refundable, not P&amp;L</t>
        </is>
      </c>
    </row>
    <row r="28">
      <c r="A28" s="9" t="inlineStr">
        <is>
          <t>7-PERSONA AUDIT RESULTS</t>
        </is>
      </c>
      <c r="B28" s="29" t="n"/>
      <c r="C28" s="29" t="n"/>
      <c r="D28" s="29" t="n"/>
      <c r="E28" s="29" t="n"/>
    </row>
    <row r="29">
      <c r="A29" s="4" t="inlineStr">
        <is>
          <t>#</t>
        </is>
      </c>
      <c r="B29" s="4" t="inlineStr">
        <is>
          <t>Persona</t>
        </is>
      </c>
      <c r="C29" s="4" t="inlineStr">
        <is>
          <t>Key Finding</t>
        </is>
      </c>
      <c r="D29" s="4" t="inlineStr">
        <is>
          <t>EUR Impact</t>
        </is>
      </c>
      <c r="E29" s="4" t="inlineStr">
        <is>
          <t>Status in v3</t>
        </is>
      </c>
    </row>
    <row r="30">
      <c r="A30" s="52" t="inlineStr">
        <is>
          <t>P1</t>
        </is>
      </c>
      <c r="B30" s="50" t="inlineStr">
        <is>
          <t>Angel Investor</t>
        </is>
      </c>
      <c r="C30" s="50" t="inlineStr">
        <is>
          <t>EUR 113-236K missing costs; CAC EUR 40 too low</t>
        </is>
      </c>
      <c r="D30" s="50" t="inlineStr">
        <is>
          <t>EUR 175K midpoint gap</t>
        </is>
      </c>
      <c r="E30" s="50" t="inlineStr">
        <is>
          <t>All items added</t>
        </is>
      </c>
    </row>
    <row r="31">
      <c r="A31" s="52" t="inlineStr">
        <is>
          <t>P2</t>
        </is>
      </c>
      <c r="B31" s="50" t="inlineStr">
        <is>
          <t>Steuerberater</t>
        </is>
      </c>
      <c r="C31" s="50" t="inlineStr">
        <is>
          <t>GewSt 14.35% + KSt 15.825% = ~30% tax; IHK EUR 120/yr</t>
        </is>
      </c>
      <c r="D31" s="50" t="inlineStr">
        <is>
          <t>~EUR 3K/mo when profitable</t>
        </is>
      </c>
      <c r="E31" s="50" t="inlineStr">
        <is>
          <t>Tax provision added</t>
        </is>
      </c>
    </row>
    <row r="32">
      <c r="A32" s="52" t="inlineStr">
        <is>
          <t>P3</t>
        </is>
      </c>
      <c r="B32" s="50" t="inlineStr">
        <is>
          <t>Operations Manager</t>
        </is>
      </c>
      <c r="C32" s="50" t="inlineStr">
        <is>
          <t>Rent is Kaltmiete; buildout EUR 25K+; utilities EUR 500</t>
        </is>
      </c>
      <c r="D32" s="50" t="inlineStr">
        <is>
          <t>+EUR 665-1,600/mo</t>
        </is>
      </c>
      <c r="E32" s="50" t="inlineStr">
        <is>
          <t>Nebenkosten, buildout, utilities updated</t>
        </is>
      </c>
    </row>
    <row r="33">
      <c r="A33" s="52" t="inlineStr">
        <is>
          <t>P4</t>
        </is>
      </c>
      <c r="B33" s="50" t="inlineStr">
        <is>
          <t>Food Safety Inspector</t>
        </is>
      </c>
      <c r="C33" s="50" t="inlineStr">
        <is>
          <t>No Gaststättenerlaubnis needed; NMN NOT EU approved</t>
        </is>
      </c>
      <c r="D33" s="50" t="inlineStr">
        <is>
          <t>+EUR 2.6-5.8K one-off</t>
        </is>
      </c>
      <c r="E33" s="50" t="inlineStr">
        <is>
          <t>HACCP, hygiene, food safety added</t>
        </is>
      </c>
    </row>
    <row r="34">
      <c r="A34" s="52" t="inlineStr">
        <is>
          <t>P5</t>
        </is>
      </c>
      <c r="B34" s="50" t="inlineStr">
        <is>
          <t>Growth CFO</t>
        </is>
      </c>
      <c r="C34" s="50" t="inlineStr">
        <is>
          <t>EUR 218K P&amp;L vs cash gap; ARPU EUR 38.44 not EUR 49</t>
        </is>
      </c>
      <c r="D34" s="50" t="inlineStr">
        <is>
          <t>Working capital critical</t>
        </is>
      </c>
      <c r="E34" s="50" t="inlineStr">
        <is>
          <t>Cash flow sheet added</t>
        </is>
      </c>
    </row>
    <row r="35">
      <c r="A35" s="52" t="inlineStr">
        <is>
          <t>P6</t>
        </is>
      </c>
      <c r="B35" s="50" t="inlineStr">
        <is>
          <t>Compliance Legal</t>
        </is>
      </c>
      <c r="C35" s="50" t="inlineStr">
        <is>
          <t>DSB mandatory; DPIA mandatory; insurance EUR 650/mo</t>
        </is>
      </c>
      <c r="D35" s="50" t="inlineStr">
        <is>
          <t>+EUR 29.5-53K one-off</t>
        </is>
      </c>
      <c r="E35" s="50" t="inlineStr">
        <is>
          <t>DSB, DPIA, MDR, insurance split added</t>
        </is>
      </c>
    </row>
    <row r="36">
      <c r="A36" s="52" t="inlineStr">
        <is>
          <t>P7</t>
        </is>
      </c>
      <c r="B36" s="50" t="inlineStr">
        <is>
          <t>HR Manager</t>
        </is>
      </c>
      <c r="C36" s="50" t="inlineStr">
        <is>
          <t>CTO recruitment EUR 18K; employer multiplier 1.25x</t>
        </is>
      </c>
      <c r="D36" s="50" t="inlineStr">
        <is>
          <t>+EUR 16-27K one-off</t>
        </is>
      </c>
      <c r="E36" s="50" t="inlineStr">
        <is>
          <t>Recruitment, multiplier, onboarding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2026-02-25T17:11:50Z</dcterms:created>
  <dcterms:modified xmlns:dcterms="http://purl.org/dc/terms/" xmlns:xsi="http://www.w3.org/2001/XMLSchema-instance" xsi:type="dcterms:W3CDTF">2026-02-25T17:11:50Z</dcterms:modified>
</cp:coreProperties>
</file>